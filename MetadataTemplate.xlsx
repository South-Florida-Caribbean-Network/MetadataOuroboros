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1057" documentId="8_{2F8795CF-CDDF-43BA-97D9-07A87AE2952A}" xr6:coauthVersionLast="47" xr6:coauthVersionMax="47" xr10:uidLastSave="{3006F33C-9663-4E1F-B561-3E573163F72C}"/>
  <bookViews>
    <workbookView xWindow="132" yWindow="2178" windowWidth="22908" windowHeight="12222" firstSheet="4" activeTab="9" xr2:uid="{F3CFC82C-CDFA-43A3-931A-18FF91478685}"/>
  </bookViews>
  <sheets>
    <sheet name="README" sheetId="12" r:id="rId1"/>
    <sheet name="attributes" sheetId="3" r:id="rId2"/>
    <sheet name="custom_units" sheetId="8" r:id="rId3"/>
    <sheet name="unit_dictionary" sheetId="11" r:id="rId4"/>
    <sheet name="catagorical_value_definitions" sheetId="4" r:id="rId5"/>
    <sheet name="abstract" sheetId="1" r:id="rId6"/>
    <sheet name="methods" sheetId="2" r:id="rId7"/>
    <sheet name="keywords" sheetId="5" r:id="rId8"/>
    <sheet name="suggested_keywords" sheetId="14" r:id="rId9"/>
    <sheet name="personnel" sheetId="6" r:id="rId10"/>
    <sheet name="table_info" sheetId="13" r:id="rId11"/>
    <sheet name="additional_info" sheetId="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 i="5" l="1"/>
  <c r="C66" i="5"/>
  <c r="C67" i="5"/>
  <c r="C68" i="5"/>
  <c r="C69" i="5"/>
  <c r="C70" i="5"/>
  <c r="C71" i="5"/>
  <c r="C72" i="5"/>
  <c r="C73" i="5"/>
  <c r="C74" i="5"/>
  <c r="C75" i="5"/>
  <c r="C76" i="5"/>
  <c r="C77"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 i="5"/>
  <c r="C7" i="5"/>
  <c r="C8" i="5"/>
  <c r="C9" i="5"/>
  <c r="C10" i="5"/>
  <c r="C11" i="5"/>
  <c r="C12" i="5"/>
  <c r="C13" i="5"/>
  <c r="C14" i="5"/>
  <c r="C15" i="5"/>
  <c r="C16" i="5"/>
  <c r="C17" i="5"/>
  <c r="C18" i="5"/>
  <c r="C19" i="5"/>
  <c r="C20" i="5"/>
  <c r="C21" i="5"/>
  <c r="C22" i="5"/>
  <c r="C23" i="5"/>
  <c r="C24" i="5"/>
  <c r="C25" i="5"/>
  <c r="C5" i="5"/>
  <c r="A338" i="1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<sst xmlns="http://schemas.openxmlformats.org/spreadsheetml/2006/main" count="3247" uniqueCount="1176">
  <si>
    <t>Description:</t>
  </si>
  <si>
    <t>ENTER ABSTRACT BELOW:</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</si>
  <si>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</si>
  <si>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</si>
  <si>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</si>
  <si>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</si>
  <si>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</si>
  <si>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</si>
  <si>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</si>
  <si>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</si>
  <si>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</si>
  <si>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</si>
  <si>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</si>
  <si>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</si>
  <si>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</si>
  <si>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</si>
  <si>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</si>
  <si>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</si>
  <si>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</si>
  <si>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</si>
  <si>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</si>
  <si>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</si>
  <si>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</si>
  <si>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</si>
  <si>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</si>
  <si>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</si>
  <si>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</si>
  <si>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</si>
  <si>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B</t>
  </si>
  <si>
    <t>South Florida/Caribbean Network</t>
  </si>
  <si>
    <t>Contact</t>
  </si>
  <si>
    <t>South Florida/Caribbean Network Early Detection Protocol for Exotic Plants</t>
  </si>
  <si>
    <t>Creator</t>
  </si>
  <si>
    <t>M</t>
  </si>
  <si>
    <t>R</t>
  </si>
  <si>
    <t>Katherine</t>
  </si>
  <si>
    <t>Herrmann</t>
  </si>
  <si>
    <t>Katherine_Herrmann@nps.gov</t>
  </si>
  <si>
    <t>0009-0004-5746-8322</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</si>
  <si>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</si>
  <si>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</si>
  <si>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</si>
  <si>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</si>
  <si>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</si>
  <si>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</si>
  <si>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</si>
  <si>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</si>
  <si>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</si>
  <si>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</si>
  <si>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</si>
  <si>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</si>
  <si>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</si>
  <si>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</si>
  <si>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</si>
  <si>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</si>
  <si>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</si>
  <si>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</si>
  <si>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</si>
  <si>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</si>
  <si>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</si>
  <si>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</si>
  <si>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</si>
  <si>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</si>
  <si>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</si>
  <si>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</si>
  <si>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</si>
  <si>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</si>
  <si>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</si>
  <si>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</si>
  <si>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</si>
  <si>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</si>
  <si>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</si>
  <si>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</si>
  <si>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</si>
  <si>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</si>
  <si>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</si>
  <si>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</si>
  <si>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</si>
  <si>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</si>
  <si>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</si>
  <si>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</si>
  <si>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</si>
  <si>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</si>
  <si>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</si>
  <si>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</si>
  <si>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</si>
  <si>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</si>
  <si>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</si>
  <si>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</si>
  <si>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</si>
  <si>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</si>
  <si>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</si>
  <si>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</si>
  <si>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</si>
  <si>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</si>
  <si>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</si>
  <si>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</si>
  <si>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</si>
  <si>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</si>
  <si>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</si>
  <si>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</si>
  <si>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</si>
  <si>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</si>
  <si>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</si>
  <si>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</si>
  <si>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</si>
  <si>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</si>
  <si>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</si>
  <si>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</si>
  <si>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</si>
  <si>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</si>
  <si>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</si>
  <si>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</si>
  <si>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</si>
  <si>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</si>
  <si>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</si>
  <si>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</si>
  <si>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</si>
  <si>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</si>
  <si>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</si>
  <si>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</si>
  <si>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</si>
  <si>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</si>
  <si>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</si>
  <si>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</si>
  <si>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</si>
  <si>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</si>
  <si>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</si>
  <si>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</si>
  <si>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</si>
  <si>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</si>
  <si>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</si>
  <si>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</si>
  <si>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</si>
  <si>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</si>
  <si>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</si>
  <si>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</si>
  <si>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</si>
  <si>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</si>
  <si>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</si>
  <si>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</si>
  <si>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</si>
  <si>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</si>
  <si>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</si>
  <si>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</si>
  <si>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</si>
  <si>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</si>
  <si>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</si>
  <si>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</si>
  <si>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</si>
  <si>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</si>
  <si>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</si>
  <si>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</si>
  <si>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</si>
  <si>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</si>
  <si>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</si>
  <si>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</si>
  <si>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</si>
  <si>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</si>
  <si>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</si>
  <si>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</si>
  <si>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</si>
  <si>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</si>
  <si>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</si>
  <si>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</si>
  <si>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</si>
  <si>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</si>
  <si>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</si>
  <si>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</si>
  <si>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</si>
  <si>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</si>
  <si>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</si>
  <si>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</si>
  <si>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</si>
  <si>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</si>
  <si>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</si>
  <si>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</si>
  <si>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</si>
  <si>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</si>
  <si>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</si>
  <si>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</si>
  <si>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</si>
  <si>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</si>
  <si>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</si>
  <si>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</si>
  <si>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</si>
  <si>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</si>
  <si>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</si>
  <si>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</si>
  <si>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</si>
  <si>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</si>
  <si>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</si>
  <si>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</si>
  <si>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</si>
  <si>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</si>
  <si>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</si>
  <si>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</si>
  <si>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</si>
  <si>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</si>
  <si>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</si>
  <si>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</si>
  <si>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</si>
  <si>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</si>
  <si>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</si>
  <si>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</si>
  <si>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</si>
  <si>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</si>
  <si>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</si>
  <si>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</si>
  <si>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</si>
  <si>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</si>
  <si>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</si>
  <si>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</si>
  <si>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</si>
  <si>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</si>
  <si>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</si>
  <si>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</si>
  <si>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</si>
  <si>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</si>
  <si>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</si>
  <si>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</si>
  <si>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</si>
  <si>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</si>
  <si>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</si>
  <si>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</si>
  <si>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</si>
  <si>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</si>
  <si>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</si>
  <si>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</si>
  <si>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</si>
  <si>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</si>
  <si>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</si>
  <si>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</si>
  <si>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</si>
  <si>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</si>
  <si>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</si>
  <si>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</si>
  <si>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</si>
  <si>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</si>
  <si>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</si>
  <si>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</si>
  <si>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</si>
  <si>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</si>
  <si>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</si>
  <si>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</si>
  <si>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</si>
  <si>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</si>
  <si>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</si>
  <si>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</si>
  <si>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</si>
  <si>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</si>
  <si>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</si>
  <si>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</si>
  <si>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</si>
  <si>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</si>
  <si>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</si>
  <si>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</si>
  <si>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</si>
  <si>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</si>
  <si>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</si>
  <si>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</si>
  <si>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</si>
  <si>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</si>
  <si>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</si>
  <si>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</si>
  <si>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</si>
  <si>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</si>
  <si>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</si>
  <si>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</si>
  <si>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</si>
  <si>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</si>
  <si>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</si>
  <si>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</si>
  <si>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</si>
  <si>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</si>
  <si>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</si>
  <si>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</si>
  <si>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</si>
  <si>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</si>
  <si>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</si>
  <si>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</si>
  <si>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</si>
  <si>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</si>
  <si>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</si>
  <si>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</si>
  <si>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</si>
  <si>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</si>
  <si>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</si>
  <si>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</si>
  <si>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</si>
  <si>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</si>
  <si>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</si>
  <si>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</si>
  <si>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</si>
  <si>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</si>
  <si>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</si>
  <si>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</si>
  <si>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</si>
  <si>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</si>
  <si>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</si>
  <si>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</si>
  <si>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</si>
  <si>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</si>
  <si>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</si>
  <si>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</si>
  <si>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</si>
  <si>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</si>
  <si>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</si>
  <si>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</si>
  <si>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</si>
  <si>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</si>
  <si>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</si>
  <si>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</si>
  <si>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</si>
  <si>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</si>
  <si>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</si>
  <si>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</si>
  <si>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</si>
  <si>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</si>
  <si>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</si>
  <si>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</si>
  <si>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</si>
  <si>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</si>
  <si>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</si>
  <si>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</si>
  <si>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</si>
  <si>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</si>
  <si>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</si>
  <si>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</si>
  <si>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</si>
  <si>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</si>
  <si>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</si>
  <si>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</si>
  <si>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</si>
  <si>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</si>
  <si>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</si>
  <si>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</si>
  <si>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</si>
  <si>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</si>
  <si>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</si>
  <si>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</si>
  <si>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</si>
  <si>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</si>
  <si>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</si>
  <si>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</si>
  <si>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</si>
  <si>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</si>
  <si>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</si>
  <si>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</si>
  <si>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</si>
  <si>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</si>
  <si>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</si>
  <si>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</si>
  <si>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</si>
  <si>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</si>
  <si>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</si>
  <si>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</si>
  <si>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</si>
  <si>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</si>
  <si>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</si>
  <si>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</si>
  <si>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</si>
  <si>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</si>
  <si>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</si>
  <si>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</si>
  <si>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</si>
  <si>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</si>
  <si>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</si>
  <si>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</si>
  <si>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</si>
  <si>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</si>
  <si>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</si>
  <si>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</si>
  <si>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</si>
  <si>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</si>
  <si>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</si>
  <si>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</si>
  <si>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</si>
  <si>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</si>
  <si>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</si>
  <si>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</si>
  <si>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</si>
  <si>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</si>
  <si>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</si>
  <si>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</si>
  <si>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</si>
  <si>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</si>
  <si>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</si>
  <si>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</si>
  <si>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</si>
  <si>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</si>
  <si>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</si>
  <si>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</si>
  <si>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</si>
  <si>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</si>
  <si>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</si>
  <si>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</si>
  <si>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</si>
  <si>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</si>
  <si>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</si>
  <si>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</si>
  <si>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</si>
  <si>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</si>
  <si>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</si>
  <si>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</si>
  <si>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</si>
  <si>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</si>
  <si>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</si>
  <si>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</si>
  <si>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</si>
  <si>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</si>
  <si>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</si>
  <si>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</si>
  <si>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</si>
  <si>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</si>
  <si>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</si>
  <si>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</si>
  <si>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</si>
  <si>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</si>
  <si>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</si>
  <si>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</si>
  <si>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</si>
  <si>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</si>
  <si>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</si>
  <si>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</si>
  <si>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</si>
  <si>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</si>
  <si>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</si>
  <si>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</si>
  <si>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</si>
  <si>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</si>
  <si>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</si>
  <si>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</si>
  <si>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</si>
  <si>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</si>
  <si>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</si>
  <si>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</si>
  <si>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</si>
  <si>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</si>
  <si>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</si>
  <si>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</si>
  <si>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</si>
  <si>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</si>
  <si>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</si>
  <si>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</si>
  <si>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</si>
  <si>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</si>
  <si>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</si>
  <si>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</si>
  <si>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</si>
  <si>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</si>
  <si>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</si>
  <si>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</si>
  <si>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</si>
  <si>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</si>
  <si>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</si>
  <si>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</si>
  <si>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</si>
  <si>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</si>
  <si>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</si>
  <si>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</si>
  <si>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</si>
  <si>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</si>
  <si>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</si>
  <si>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</si>
  <si>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</si>
  <si>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</si>
  <si>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</si>
  <si>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</si>
  <si>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</si>
  <si>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</si>
  <si>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</si>
  <si>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</si>
  <si>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</si>
  <si>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</si>
  <si>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</si>
  <si>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</si>
  <si>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</si>
  <si>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</si>
  <si>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</si>
  <si>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</si>
  <si>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</si>
  <si>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</si>
  <si>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</si>
  <si>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</si>
  <si>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</si>
  <si>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</si>
  <si>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</si>
  <si>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</si>
  <si>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</si>
  <si>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</si>
  <si>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</si>
  <si>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</si>
  <si>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</si>
  <si>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</si>
  <si>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</si>
  <si>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</si>
  <si>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</si>
  <si>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</si>
  <si>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</si>
  <si>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</si>
  <si>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</si>
  <si>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</si>
  <si>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</si>
  <si>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</si>
  <si>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</si>
  <si>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</si>
  <si>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</si>
  <si>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</si>
  <si>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</si>
  <si>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</si>
  <si>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</si>
  <si>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</si>
  <si>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</si>
  <si>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</si>
  <si>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</si>
  <si>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</si>
  <si>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</si>
  <si>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</si>
  <si>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</si>
  <si>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</si>
  <si>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</si>
  <si>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</si>
  <si>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</si>
  <si>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</si>
  <si>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</si>
  <si>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</si>
  <si>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</si>
  <si>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</si>
  <si>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</si>
  <si>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</si>
  <si>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</si>
  <si>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</si>
  <si>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</si>
  <si>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</si>
  <si>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</si>
  <si>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</si>
  <si>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</si>
  <si>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</si>
  <si>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</si>
  <si>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</si>
  <si>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</si>
  <si>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</si>
  <si>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</si>
  <si>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</si>
  <si>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</si>
  <si>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</si>
  <si>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</si>
  <si>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</si>
  <si>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</si>
  <si>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</si>
  <si>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</si>
  <si>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</si>
  <si>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</si>
  <si>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</si>
  <si>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</si>
  <si>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</si>
  <si>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</si>
  <si>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</si>
  <si>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</si>
  <si>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</si>
  <si>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</si>
  <si>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</si>
  <si>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</si>
  <si>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</si>
  <si>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</si>
  <si>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</si>
  <si>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</si>
  <si>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</si>
  <si>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</si>
  <si>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</si>
  <si>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</si>
  <si>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</si>
  <si>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</si>
  <si>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</si>
  <si>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</si>
  <si>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</si>
  <si>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</si>
  <si>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</si>
  <si>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</si>
  <si>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</si>
  <si>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</si>
  <si>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</si>
  <si>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</si>
  <si>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</si>
  <si>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</si>
  <si>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</si>
  <si>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</si>
  <si>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</si>
  <si>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</si>
  <si>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</si>
  <si>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</si>
  <si>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</si>
  <si>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</si>
  <si>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</si>
  <si>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</si>
  <si>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</si>
  <si>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</si>
  <si>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</si>
  <si>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</si>
  <si>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</si>
  <si>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</si>
  <si>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</si>
  <si>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</si>
  <si>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</si>
  <si>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</si>
  <si>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</si>
  <si>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</si>
  <si>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</si>
  <si>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</si>
  <si>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</si>
  <si>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</si>
  <si>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</si>
  <si>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</si>
  <si>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</si>
  <si>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</si>
  <si>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</si>
  <si>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</si>
  <si>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</si>
  <si>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</si>
  <si>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</si>
  <si>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</si>
  <si>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</si>
  <si>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</si>
  <si>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</si>
  <si>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</si>
  <si>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</si>
  <si>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</si>
  <si>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</si>
  <si>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</si>
  <si>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</si>
  <si>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</si>
  <si>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</si>
  <si>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</si>
  <si>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</si>
  <si>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</si>
  <si>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</si>
  <si>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</si>
  <si>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</si>
  <si>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</si>
  <si>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</si>
  <si>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</si>
  <si>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</si>
  <si>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</si>
  <si>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</si>
  <si>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</si>
  <si>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</si>
  <si>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</si>
  <si>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</si>
  <si>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</si>
  <si>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</si>
  <si>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</si>
  <si>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</si>
  <si>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</si>
  <si>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</si>
  <si>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</si>
  <si>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</si>
  <si>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</si>
  <si>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</si>
  <si>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</si>
  <si>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</si>
  <si>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</si>
  <si>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</si>
  <si>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</si>
  <si>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</si>
  <si>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</si>
  <si>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</si>
  <si>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</si>
  <si>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</si>
  <si>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</si>
  <si>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</si>
  <si>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</si>
  <si>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</si>
  <si>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</si>
  <si>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</si>
  <si>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</si>
  <si>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</si>
  <si>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</si>
  <si>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</si>
  <si>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</si>
  <si>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</si>
  <si>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</si>
  <si>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</si>
  <si>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</si>
  <si>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</si>
  <si>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</si>
  <si>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</si>
  <si>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</si>
  <si>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</si>
  <si>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</si>
  <si>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</si>
  <si>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</si>
  <si>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</si>
  <si>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</si>
  <si>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</si>
  <si>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</si>
  <si>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</si>
  <si>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</si>
  <si>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</si>
  <si>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</si>
  <si>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</si>
  <si>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</si>
  <si>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</si>
  <si>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</si>
  <si>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</si>
  <si>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</si>
  <si>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</si>
  <si>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</si>
  <si>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</si>
  <si>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</si>
  <si>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</si>
  <si>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</si>
  <si>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</si>
  <si>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</si>
  <si>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</si>
  <si>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</si>
  <si>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</si>
  <si>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</si>
  <si>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</si>
  <si>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</si>
  <si>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</si>
  <si>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</si>
  <si>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</si>
  <si>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</si>
  <si>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</si>
  <si>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</si>
  <si>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</si>
  <si>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</si>
  <si>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</si>
  <si>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</si>
  <si>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</si>
  <si>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</si>
  <si>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</si>
  <si>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</si>
  <si>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</si>
  <si>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</si>
  <si>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</si>
  <si>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</si>
  <si>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</si>
  <si>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</si>
  <si>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</si>
  <si>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</si>
  <si>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</si>
  <si>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</si>
  <si>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</si>
  <si>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</si>
  <si>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</si>
  <si>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</si>
  <si>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</si>
  <si>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</si>
  <si>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</si>
  <si>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</si>
  <si>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</si>
  <si>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</si>
  <si>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</si>
  <si>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</si>
  <si>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</si>
  <si>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</si>
  <si>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</si>
  <si>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</si>
  <si>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</si>
  <si>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</si>
  <si>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</si>
  <si>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</si>
  <si>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</si>
  <si>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</si>
  <si>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</si>
  <si>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</si>
  <si>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</si>
  <si>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</si>
  <si>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</si>
  <si>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</si>
  <si>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</si>
  <si>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</si>
  <si>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</si>
  <si>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</si>
  <si>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</si>
  <si>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</si>
  <si>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</si>
  <si>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</si>
  <si>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</si>
  <si>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</si>
  <si>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</si>
  <si>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</si>
  <si>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</si>
  <si>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</si>
  <si>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</si>
  <si>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</si>
  <si>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</si>
  <si>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</si>
  <si>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</si>
  <si>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</si>
  <si>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</si>
  <si>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</si>
  <si>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</si>
  <si>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</si>
  <si>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</si>
  <si>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</si>
  <si>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</si>
  <si>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</si>
  <si>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</si>
  <si>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</si>
  <si>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</si>
  <si>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</si>
  <si>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</si>
  <si>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</si>
  <si>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</si>
  <si>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</si>
  <si>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</si>
  <si>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</si>
  <si>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</si>
  <si>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</si>
  <si>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</si>
  <si>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</si>
  <si>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</si>
  <si>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</si>
  <si>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</si>
  <si>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</si>
  <si>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</si>
  <si>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</si>
  <si>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</si>
  <si>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</si>
  <si>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</si>
  <si>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</si>
  <si>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</si>
  <si>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</si>
  <si>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</si>
  <si>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</si>
  <si>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</si>
  <si>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</si>
  <si>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</si>
  <si>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</si>
  <si>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</si>
  <si>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</si>
  <si>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</si>
  <si>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</si>
  <si>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</si>
  <si>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</si>
  <si>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</si>
  <si>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</si>
  <si>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</si>
  <si>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</si>
  <si>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</si>
  <si>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</si>
  <si>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</si>
  <si>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</si>
  <si>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</si>
  <si>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</si>
  <si>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</si>
  <si>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</si>
  <si>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</si>
  <si>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</si>
  <si>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</si>
  <si>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</si>
  <si>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</si>
  <si>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</si>
  <si>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</si>
  <si>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</si>
  <si>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</si>
  <si>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</si>
  <si>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</si>
  <si>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</si>
  <si>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</si>
  <si>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</si>
  <si>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</si>
  <si>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</si>
  <si>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</si>
  <si>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</si>
  <si>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</si>
  <si>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</si>
  <si>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</si>
  <si>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</si>
  <si>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</si>
  <si>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</si>
  <si>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</si>
  <si>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</si>
  <si>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</si>
  <si>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</si>
  <si>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</si>
  <si>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</si>
  <si>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</si>
  <si>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</si>
  <si>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</si>
  <si>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</si>
  <si>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</si>
  <si>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</si>
  <si>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</si>
  <si>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</si>
  <si>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</si>
  <si>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</si>
  <si>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</si>
  <si>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</si>
  <si>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</si>
  <si>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</si>
  <si>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</si>
  <si>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</si>
  <si>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</si>
  <si>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</si>
  <si>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</si>
  <si>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</si>
  <si>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</si>
  <si>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</si>
  <si>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</si>
  <si>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</si>
  <si>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</si>
  <si>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</si>
  <si>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</si>
  <si>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</si>
  <si>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</si>
  <si>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</si>
  <si>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</si>
  <si>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</si>
  <si>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</si>
  <si>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</si>
  <si>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</si>
  <si>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</si>
  <si>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</si>
  <si>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</si>
  <si>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</si>
  <si>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</si>
  <si>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</si>
  <si>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</si>
  <si>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</si>
  <si>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</si>
  <si>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</si>
  <si>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</si>
  <si>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</si>
  <si>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</si>
  <si>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</si>
  <si>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</si>
  <si>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</si>
  <si>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</si>
  <si>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</si>
  <si>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</si>
  <si>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</si>
  <si>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</si>
  <si>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</si>
  <si>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</si>
  <si>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</si>
  <si>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</si>
  <si>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</si>
  <si>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</si>
  <si>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</si>
  <si>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</si>
  <si>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</si>
  <si>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</si>
  <si>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</si>
  <si>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</si>
  <si>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</si>
  <si>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</si>
  <si>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</si>
  <si>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</si>
  <si>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</si>
  <si>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</si>
  <si>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</si>
  <si>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</si>
  <si>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</si>
  <si>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</si>
  <si>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</si>
  <si>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</si>
  <si>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</si>
  <si>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</si>
  <si>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</si>
  <si>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</si>
  <si>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</si>
  <si>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</si>
  <si>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</si>
  <si>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</si>
  <si>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</si>
  <si>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</si>
  <si>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</si>
  <si>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</si>
  <si>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</si>
  <si>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</si>
  <si>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</si>
  <si>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</si>
  <si>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</si>
  <si>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</si>
  <si>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</si>
  <si>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</si>
  <si>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</si>
  <si>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</si>
  <si>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</si>
  <si>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</si>
  <si>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</si>
  <si>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</si>
  <si>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</si>
  <si>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</si>
  <si>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</si>
  <si>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</si>
  <si>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</si>
  <si>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</si>
  <si>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</si>
  <si>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</si>
  <si>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</si>
  <si>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</si>
  <si>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</si>
  <si>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</si>
  <si>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</si>
  <si>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</si>
  <si>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</si>
  <si>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</si>
  <si>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</si>
  <si>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</si>
  <si>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</si>
  <si>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</si>
  <si>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</si>
  <si>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</si>
  <si>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</si>
  <si>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</si>
  <si>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</si>
  <si>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</si>
  <si>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</si>
  <si>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</si>
  <si>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</si>
  <si>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</si>
  <si>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</si>
  <si>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</si>
  <si>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</si>
  <si>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</si>
  <si>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</si>
  <si>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</si>
  <si>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</si>
  <si>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</si>
  <si>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</si>
  <si>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</si>
  <si>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</si>
  <si>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</si>
  <si>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</si>
  <si>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</si>
  <si>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</si>
  <si>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</si>
  <si>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</si>
  <si>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</si>
  <si>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</si>
  <si>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</si>
  <si>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</si>
  <si>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</si>
  <si>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</si>
  <si>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</si>
  <si>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</si>
  <si>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</si>
  <si>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</si>
  <si>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</si>
  <si>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</si>
  <si>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</si>
  <si>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</si>
  <si>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</si>
  <si>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</si>
  <si>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</si>
  <si>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</si>
  <si>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</si>
  <si>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</si>
  <si>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</si>
  <si>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</si>
  <si>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</si>
  <si>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</si>
  <si>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</si>
  <si>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</si>
  <si>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</si>
  <si>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</si>
  <si>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</si>
  <si>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</si>
  <si>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</si>
  <si>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</si>
  <si>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</si>
  <si>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</si>
  <si>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</si>
  <si>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</si>
  <si>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</si>
  <si>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</si>
  <si>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</si>
  <si>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</si>
  <si>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</si>
  <si>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</si>
  <si>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</si>
  <si>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</si>
  <si>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</si>
  <si>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</si>
  <si>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</si>
  <si>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</si>
  <si>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</si>
  <si>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</si>
  <si>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</si>
  <si>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</si>
  <si>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</si>
  <si>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</si>
  <si>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</si>
  <si>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</si>
  <si>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</si>
  <si>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</si>
  <si>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</si>
  <si>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</si>
  <si>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</si>
  <si>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</si>
  <si>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</si>
  <si>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</si>
  <si>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</si>
  <si>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</si>
  <si>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</si>
  <si>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Needs one Creator and one Contact
If Creator and Contact are the same, you will need to enter their information twice, once for each role</t>
  </si>
  <si>
    <t>Air and Climate | Air Quality | Air Contaminants</t>
  </si>
  <si>
    <t>Air and Climate | Air Quality | Ozone</t>
  </si>
  <si>
    <t>Air and Climate | Air Quality | Visibility and Particulate Matter</t>
  </si>
  <si>
    <t>Air and Climate | Air Quality | Wet and Dry Deposition</t>
  </si>
  <si>
    <t>Air and Climate | Weather and Climate | Weather and Climate</t>
  </si>
  <si>
    <t>Biological Integrity | At-risk Biota | T&amp;E Species and Communities</t>
  </si>
  <si>
    <t>Biological Integrity | Focal Species or Communities | Amphibians and Reptiles</t>
  </si>
  <si>
    <t>Biological Integrity | Focal Species or Communities | Birds</t>
  </si>
  <si>
    <t>Biological Integrity | Focal Species or Communities | Cave Communities</t>
  </si>
  <si>
    <t>Biological Integrity | Focal Species or Communities | Desert Communities</t>
  </si>
  <si>
    <t>Biological Integrity | Focal Species or Communities | Estuarine Communities</t>
  </si>
  <si>
    <t>Biological Integrity | Focal Species or Communities | Fishes</t>
  </si>
  <si>
    <t>Biological Integrity | Focal Species or Communities | Forest/Woodland Communities</t>
  </si>
  <si>
    <t>Biological Integrity | Focal Species or Communities | Freshwater Communities</t>
  </si>
  <si>
    <t>Biological Integrity | Focal Species or Communities | Freshwater Invertebrates</t>
  </si>
  <si>
    <t>Biological Integrity | Focal Species or Communities | Grassland/Herbaceous Communities</t>
  </si>
  <si>
    <t>Biological Integrity | Focal Species or Communities | Intertidal Communities</t>
  </si>
  <si>
    <t>Biological Integrity | Focal Species or Communities | Mammals</t>
  </si>
  <si>
    <t>Biological Integrity | Focal Species or Communities | Marine Communities</t>
  </si>
  <si>
    <t>Biological Integrity | Focal Species or Communities | Marine Invertebrates</t>
  </si>
  <si>
    <t>Biological Integrity | Focal Species or Communities | Riparian Communities</t>
  </si>
  <si>
    <t>Biological Integrity | Focal Species or Communities | Shrubland Communities</t>
  </si>
  <si>
    <t>Biological Integrity | Focal Species or Communities | Sparsely Vegetated Communities</t>
  </si>
  <si>
    <t>Biological Integrity | Focal Species or Communities | Terrestrial Complex</t>
  </si>
  <si>
    <t>Biological Integrity | Focal Species or Communities | Terrestrial Invertebrates</t>
  </si>
  <si>
    <t>Biological Integrity | Focal Species or Communities | Vegetation Complex</t>
  </si>
  <si>
    <t>Biological Integrity | Focal Species or Communities | Wetland Communities</t>
  </si>
  <si>
    <t>Level 1 Category | Level 2 Category | Level 3 Category</t>
  </si>
  <si>
    <t>Biological Integrity | Infestations and Disease | Animal Diseases</t>
  </si>
  <si>
    <t>Biological Integrity | Infestations and Disease | Insect Pests</t>
  </si>
  <si>
    <t>Biological Integrity | Infestations and Disease | Plant Diseases</t>
  </si>
  <si>
    <t>Biological Integrity | Invasive Species | Invasive/Exotic animals</t>
  </si>
  <si>
    <t>Biological Integrity | Invasive Species | Invasive/Exotic plants</t>
  </si>
  <si>
    <t>Geology and Soils | Geomorphology | Coastal/Oceanographic Features and Processes</t>
  </si>
  <si>
    <t>Geology and Soils | Geomorphology | Glacial Features and Processes</t>
  </si>
  <si>
    <t>Geology and Soils | Geomorphology | Hillslope Features and Processes</t>
  </si>
  <si>
    <t>Geology and Soils | Geomorphology | Lake Features and Processes</t>
  </si>
  <si>
    <t>Geology and Soils | Geomorphology | Marine Features and Processes</t>
  </si>
  <si>
    <t>Geology and Soils | Geomorphology | Stream/River Channel Characteristics</t>
  </si>
  <si>
    <t>Geology and Soils | Geomorphology | Windblown Features and Processes</t>
  </si>
  <si>
    <t>Geology and Soils | Paleontology | Paleontology</t>
  </si>
  <si>
    <t>Geology and Soils | Soil Quality | Soil Function and Dynamics</t>
  </si>
  <si>
    <t>Geology and Soils | Subsurface Geologic Processes | Cave/Karst Features and Processes</t>
  </si>
  <si>
    <t>Geology and Soils | Subsurface Geologic Processes | Geothermal Features and Processes</t>
  </si>
  <si>
    <t>Geology and Soils | Subsurface Geologic Processes | Seismic Activity</t>
  </si>
  <si>
    <t>Geology and Soils | Subsurface Geologic Processes | Volcanic Features and Processes</t>
  </si>
  <si>
    <t>Human Use | Consumptive Use | Consumptive Use</t>
  </si>
  <si>
    <t>Human Use | Cultural Landscapes | Cultural Landscapes</t>
  </si>
  <si>
    <t>Human Use | Non-point Source Human Effects | Non-point Source Human Effects</t>
  </si>
  <si>
    <t>Human Use | Point-Source Human Effects | Point-Source Human Effects</t>
  </si>
  <si>
    <t>Human Use | Visitor and Recreation Use | Visitor Use</t>
  </si>
  <si>
    <t>Landscapes | Energy Flow | Primary Production</t>
  </si>
  <si>
    <t>Landscapes | Extreme Disturbance Events | Extreme Disturbance Events</t>
  </si>
  <si>
    <t>Landscapes | Fire and Fuel Dynamics | Fire and Fuel Dynamics</t>
  </si>
  <si>
    <t>Landscapes | Landscape Dynamics | Land Cover and Use</t>
  </si>
  <si>
    <t>Landscapes | Nutrient Dynamics | Nutrient Dynamics</t>
  </si>
  <si>
    <t>Landscapes | Soundscape | Soundscape</t>
  </si>
  <si>
    <t>Landscapes | Viewscape | Viewscape/Dark Night Sky</t>
  </si>
  <si>
    <t>Water | Hydrology | Groundwater Dynamics</t>
  </si>
  <si>
    <t>Water | Hydrology | Marine Hydrology</t>
  </si>
  <si>
    <t>Water | Hydrology | Surface Water Dynamics</t>
  </si>
  <si>
    <t>Water | Water Quality | Aquatic Macroinvertebrates and Algae</t>
  </si>
  <si>
    <t>Water | Water Quality | Microorganisms</t>
  </si>
  <si>
    <t>Water | Water Quality | Nutrient Dynamics</t>
  </si>
  <si>
    <t>Water | Water Quality | Toxics</t>
  </si>
  <si>
    <t>Water | Water Quality | Water Chemistry</t>
  </si>
  <si>
    <t>Ecological Framework</t>
  </si>
  <si>
    <r>
      <t xml:space="preserve">Describes the salient features of a dataset in a concise summary much like an abstract does in a journal article. It should cover what the data are and why they were created. A good rule of thumb is that an abstract should be about </t>
    </r>
    <r>
      <rPr>
        <b/>
        <u/>
        <sz val="14"/>
        <color theme="1"/>
        <rFont val="Aptos Narrow"/>
        <family val="2"/>
        <scheme val="minor"/>
      </rPr>
      <t>250 words or less</t>
    </r>
    <r>
      <rPr>
        <sz val="11"/>
        <color theme="1"/>
        <rFont val="Aptos Narrow"/>
        <family val="2"/>
        <scheme val="minor"/>
      </rPr>
      <t>.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r>
  </si>
  <si>
    <r>
      <t xml:space="preserve">Data descriptions are more in depth descriptions of what the table holds. 
Aim for around </t>
    </r>
    <r>
      <rPr>
        <b/>
        <sz val="14"/>
        <color theme="1"/>
        <rFont val="Aptos Narrow"/>
        <family val="2"/>
        <scheme val="minor"/>
      </rPr>
      <t>15 words</t>
    </r>
    <r>
      <rPr>
        <b/>
        <sz val="11"/>
        <color theme="1"/>
        <rFont val="Aptos Narrow"/>
        <family val="2"/>
        <scheme val="minor"/>
      </rPr>
      <t>.</t>
    </r>
  </si>
  <si>
    <t>Describe what this column contains in one plain-language sentence.
• Start with a noun, not "This column is..."
• Don't repeat the column name or include units or date formats (those have their own columns)
• Spell out abbreviations and acronyms
• For categorical fields, describe the variable only; codes are defined separately</t>
  </si>
  <si>
    <r>
      <t xml:space="preserve">The code(s) that describe missing values in the data.
</t>
    </r>
    <r>
      <rPr>
        <b/>
        <sz val="12"/>
        <color theme="1"/>
        <rFont val="Aptos Narrow"/>
        <family val="2"/>
        <scheme val="minor"/>
      </rPr>
      <t xml:space="preserve">If the column contains NA, write NA. 
If the column is empty or contains "", write blank. </t>
    </r>
    <r>
      <rPr>
        <b/>
        <sz val="14"/>
        <color theme="1"/>
        <rFont val="Aptos Narrow"/>
        <family val="2"/>
        <scheme val="minor"/>
      </rPr>
      <t xml:space="preserve">
</t>
    </r>
    <r>
      <rPr>
        <b/>
        <sz val="12"/>
        <color theme="1"/>
        <rFont val="Aptos Narrow"/>
        <family val="2"/>
        <scheme val="minor"/>
      </rPr>
      <t>For fields where missing values are not applicable or data should always be present, leave the field empty.</t>
    </r>
  </si>
  <si>
    <r>
      <t xml:space="preserve">If there is a blank or missing value in this column, what would that mean? 
</t>
    </r>
    <r>
      <rPr>
        <b/>
        <sz val="12"/>
        <color theme="1"/>
        <rFont val="Aptos Narrow"/>
        <family val="2"/>
        <scheme val="minor"/>
      </rPr>
      <t>For fields where missing values are not applicable or data should always be present, leave the field empty.</t>
    </r>
    <r>
      <rPr>
        <b/>
        <sz val="14"/>
        <color theme="1"/>
        <rFont val="Aptos Narrow"/>
        <family val="2"/>
        <scheme val="minor"/>
      </rPr>
      <t xml:space="preserve">
Examples: 
• No data to collect/not present 
• We could not gather data at this point
• Instrument error
• Data missing</t>
    </r>
  </si>
  <si>
    <t>Doe</t>
  </si>
  <si>
    <t>Jane</t>
  </si>
  <si>
    <t>jane_doe@fake_email.com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</si>
</sst>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
      <sz val="10"/>
      <color theme="1"/>
      <name val="Segoe UI"/>
      <family val="2"/>
    </font>
    <font>
      <b/>
      <u/>
      <sz val="14"/>
      <color theme="1"/>
      <name val="Aptos Narrow"/>
      <family val="2"/>
      <scheme val="minor"/>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7">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61">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3"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3" xfId="0" applyFont="1" applyFill="1" applyBorder="1"/>
    <xf numFmtId="0" fontId="25" fillId="10" borderId="3" xfId="0" applyFont="1" applyFill="1" applyBorder="1"/>
    <xf numFmtId="0" fontId="24" fillId="10" borderId="3" xfId="0" applyFont="1" applyFill="1" applyBorder="1"/>
    <xf numFmtId="0" fontId="24" fillId="10" borderId="4" xfId="0" applyFont="1" applyFill="1" applyBorder="1"/>
    <xf numFmtId="0" fontId="7" fillId="10" borderId="0" xfId="0" applyFont="1" applyFill="1"/>
    <xf numFmtId="0" fontId="0" fillId="10" borderId="0" xfId="0" applyFill="1" applyAlignment="1">
      <alignment wrapText="1"/>
    </xf>
    <xf numFmtId="0" fontId="0" fillId="10" borderId="5" xfId="0" applyFill="1" applyBorder="1" applyAlignment="1">
      <alignment wrapText="1"/>
    </xf>
    <xf numFmtId="0" fontId="23" fillId="0" borderId="6" xfId="0" applyFont="1" applyBorder="1" applyAlignment="1">
      <alignment wrapText="1"/>
    </xf>
    <xf numFmtId="0" fontId="26" fillId="0" borderId="3" xfId="0" applyFont="1" applyBorder="1" applyAlignment="1">
      <alignment wrapText="1"/>
    </xf>
    <xf numFmtId="0" fontId="12" fillId="10" borderId="3" xfId="0" applyFont="1" applyFill="1" applyBorder="1"/>
    <xf numFmtId="0" fontId="12" fillId="10" borderId="3" xfId="0" applyFont="1" applyFill="1" applyBorder="1" applyAlignment="1">
      <alignment wrapText="1"/>
    </xf>
    <xf numFmtId="0" fontId="0" fillId="10" borderId="0" xfId="0" applyFill="1"/>
    <xf numFmtId="0" fontId="9" fillId="10" borderId="3" xfId="0" applyFont="1" applyFill="1" applyBorder="1"/>
    <xf numFmtId="0" fontId="11" fillId="10" borderId="3" xfId="0" applyFont="1" applyFill="1" applyBorder="1"/>
    <xf numFmtId="0" fontId="13" fillId="10" borderId="3" xfId="0" applyFont="1" applyFill="1" applyBorder="1"/>
    <xf numFmtId="0" fontId="13" fillId="10" borderId="3" xfId="0" applyFont="1" applyFill="1" applyBorder="1" applyAlignment="1">
      <alignment wrapText="1"/>
    </xf>
    <xf numFmtId="0" fontId="21" fillId="11" borderId="0" xfId="0" applyFont="1" applyFill="1"/>
    <xf numFmtId="0" fontId="14" fillId="8" borderId="1" xfId="1" applyFont="1" applyFill="1" applyAlignment="1">
      <alignment wrapText="1"/>
    </xf>
    <xf numFmtId="0" fontId="27" fillId="9" borderId="0" xfId="0" applyFont="1" applyFill="1"/>
    <xf numFmtId="0" fontId="28" fillId="9" borderId="0" xfId="0" applyFont="1" applyFill="1" applyProtection="1">
      <protection locked="0"/>
    </xf>
    <xf numFmtId="0" fontId="29" fillId="0" borderId="0" xfId="0" applyFont="1" applyAlignment="1">
      <alignment vertical="center"/>
    </xf>
    <xf numFmtId="0" fontId="4" fillId="0" borderId="0" xfId="0" applyFont="1" applyAlignment="1">
      <alignment wrapText="1"/>
    </xf>
    <xf numFmtId="0" fontId="4" fillId="0" borderId="0" xfId="0" applyFont="1"/>
    <xf numFmtId="0" fontId="6" fillId="3" borderId="0" xfId="0" applyFont="1" applyFill="1"/>
    <xf numFmtId="0" fontId="0" fillId="0" borderId="0" xfId="0"/>
  </cellXfs>
  <cellStyles count="2">
    <cellStyle name="Input" xfId="1" builtinId="20"/>
    <cellStyle name="Normal" xfId="0" builtinId="0"/>
  </cellStyles>
  <dxfs count="42">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theme="0" tint="-0.24994659260841701"/>
        </patternFill>
      </fill>
    </dxf>
    <dxf>
      <fill>
        <patternFill>
          <bgColor rgb="FFFFFF99"/>
        </patternFill>
      </fill>
    </dxf>
    <dxf>
      <fill>
        <patternFill>
          <bgColor rgb="FFFFFF99"/>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theme="5" tint="0.39994506668294322"/>
        </patternFill>
      </fill>
    </dxf>
    <dxf>
      <fill>
        <patternFill>
          <bgColor rgb="FFFFFF00"/>
        </patternFill>
      </fill>
    </dxf>
    <dxf>
      <fill>
        <patternFill>
          <bgColor rgb="FFFFFF00"/>
        </patternFill>
      </fill>
    </dxf>
    <dxf>
      <fill>
        <patternFill>
          <bgColor theme="9" tint="0.79998168889431442"/>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workbookViewId="0"/>
  </sheetViews>
  <sheetFormatPr defaultRowHeight="14.4" x14ac:dyDescent="0.55000000000000004"/>
  <cols>
    <col min="1" max="1" width="156.83984375" bestFit="1" customWidth="1"/>
  </cols>
  <sheetData>
    <row r="1" spans="1:6" ht="36.6" x14ac:dyDescent="1.4">
      <c r="A1" s="52" t="s">
        <v>1083</v>
      </c>
      <c r="B1" s="7"/>
      <c r="C1" s="7"/>
      <c r="D1" s="7"/>
      <c r="E1" s="7"/>
      <c r="F1" s="7"/>
    </row>
    <row r="2" spans="1:6" ht="36.6" x14ac:dyDescent="1.4">
      <c r="A2" s="28" t="s">
        <v>1086</v>
      </c>
      <c r="B2" s="7"/>
      <c r="C2" s="7"/>
      <c r="D2" s="7"/>
      <c r="E2" s="7"/>
      <c r="F2" s="7"/>
    </row>
    <row r="3" spans="1:6" ht="36.6" x14ac:dyDescent="1.4">
      <c r="A3" s="29" t="s">
        <v>1084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zoomScale="89" zoomScaleNormal="100" workbookViewId="0">
      <selection activeCell="G9" sqref="G9"/>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8.523437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7</v>
      </c>
      <c r="B1" s="16"/>
      <c r="C1" s="12"/>
      <c r="D1" s="24"/>
      <c r="E1" s="25"/>
      <c r="F1" s="25"/>
      <c r="G1" s="25"/>
      <c r="H1" s="25"/>
      <c r="I1" s="12"/>
      <c r="J1" s="12"/>
    </row>
    <row r="2" spans="1:10" s="18" customFormat="1" ht="191.7" customHeight="1" x14ac:dyDescent="0.7">
      <c r="A2" s="20"/>
      <c r="B2" s="20"/>
      <c r="C2" s="26" t="s">
        <v>1170</v>
      </c>
      <c r="D2" s="27" t="s">
        <v>1093</v>
      </c>
      <c r="E2" s="26" t="s">
        <v>1094</v>
      </c>
      <c r="F2" s="26" t="s">
        <v>1095</v>
      </c>
      <c r="G2" s="26" t="s">
        <v>1171</v>
      </c>
      <c r="H2" s="26" t="s">
        <v>1172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sheet="1" formatCells="0"/>
  <conditionalFormatting sqref="A1:J1 A2:F4 A5:J6 D7:J8 A9:J1048576 H3:J4 C4:C254 A7:B8">
    <cfRule type="expression" dxfId="41" priority="10">
      <formula>$B1="attributeName"</formula>
    </cfRule>
  </conditionalFormatting>
  <conditionalFormatting sqref="C4:C1048576">
    <cfRule type="expression" dxfId="40" priority="20">
      <formula>AND($C4="",$B4&lt;&gt;"")</formula>
    </cfRule>
  </conditionalFormatting>
  <conditionalFormatting sqref="C8">
    <cfRule type="expression" dxfId="39" priority="22">
      <formula>$B7="attributeName"</formula>
    </cfRule>
    <cfRule type="expression" dxfId="38" priority="24">
      <formula>AND($C8="",$B7&lt;&gt;"")</formula>
    </cfRule>
  </conditionalFormatting>
  <conditionalFormatting sqref="E1:E1048576 C2:D2">
    <cfRule type="expression" dxfId="37" priority="9">
      <formula>$E1="!Add units here!"</formula>
    </cfRule>
  </conditionalFormatting>
  <conditionalFormatting sqref="F1:F1048576">
    <cfRule type="expression" dxfId="36" priority="18">
      <formula>$F1="!Add datetime specifier here!"</formula>
    </cfRule>
  </conditionalFormatting>
  <conditionalFormatting sqref="F2:H2">
    <cfRule type="expression" dxfId="35" priority="2">
      <formula>$E2="!Add units here!"</formula>
    </cfRule>
  </conditionalFormatting>
  <conditionalFormatting sqref="G1 G5:G1048576">
    <cfRule type="expression" dxfId="34" priority="11">
      <formula>AND($H1="NA",$B1&lt;&gt;"")</formula>
    </cfRule>
    <cfRule type="expression" dxfId="33" priority="13">
      <formula>$B1&lt;&gt;""</formula>
    </cfRule>
  </conditionalFormatting>
  <conditionalFormatting sqref="G2">
    <cfRule type="expression" dxfId="32" priority="1">
      <formula>AND($H2="",$B2&lt;&gt;"")</formula>
    </cfRule>
    <cfRule type="expression" dxfId="31" priority="4">
      <formula>AND($H2="NA",$B2&lt;&gt;"")</formula>
    </cfRule>
    <cfRule type="expression" dxfId="30" priority="5">
      <formula>$B2&lt;&gt;""</formula>
    </cfRule>
  </conditionalFormatting>
  <conditionalFormatting sqref="G3">
    <cfRule type="expression" dxfId="29" priority="27">
      <formula>$B4="attributeName"</formula>
    </cfRule>
    <cfRule type="expression" dxfId="28" priority="33">
      <formula>AND($H4="NA",$B4&lt;&gt;"")</formula>
    </cfRule>
    <cfRule type="expression" dxfId="27" priority="34">
      <formula>$B4&lt;&gt;""</formula>
    </cfRule>
  </conditionalFormatting>
  <conditionalFormatting sqref="G2:J2">
    <cfRule type="expression" dxfId="26" priority="3">
      <formula>$B2="attributeName"</formula>
    </cfRule>
  </conditionalFormatting>
  <conditionalFormatting sqref="H1 H3:H1048576">
    <cfRule type="expression" dxfId="25" priority="15">
      <formula>AND($H1="",$B1&lt;&gt;"")</formula>
    </cfRule>
  </conditionalFormatting>
  <conditionalFormatting sqref="H2">
    <cfRule type="expression" dxfId="24" priority="6">
      <formula>AND($H2="",$B2&lt;&gt;"")</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1097</v>
      </c>
      <c r="B1" s="16" t="s">
        <v>0</v>
      </c>
      <c r="C1" s="16"/>
      <c r="D1" s="16"/>
      <c r="E1" s="16"/>
    </row>
    <row r="2" spans="1:5" ht="111.6" x14ac:dyDescent="1">
      <c r="A2" s="11" t="s">
        <v>1087</v>
      </c>
      <c r="B2" s="10" t="s">
        <v>1096</v>
      </c>
      <c r="C2" s="22"/>
    </row>
    <row r="3" spans="1:5" ht="18.3" x14ac:dyDescent="0.7">
      <c r="A3" s="37" t="s">
        <v>1098</v>
      </c>
      <c r="B3" s="38"/>
      <c r="C3" s="38"/>
      <c r="D3" s="38"/>
      <c r="E3" s="38"/>
    </row>
    <row r="4" spans="1:5" x14ac:dyDescent="0.55000000000000004">
      <c r="A4" s="39" t="s">
        <v>42</v>
      </c>
      <c r="B4" s="39" t="s">
        <v>43</v>
      </c>
      <c r="C4" s="39" t="s">
        <v>44</v>
      </c>
      <c r="D4" s="39" t="s">
        <v>45</v>
      </c>
      <c r="E4" s="39" t="s">
        <v>46</v>
      </c>
    </row>
    <row r="5" spans="1:5" x14ac:dyDescent="0.55000000000000004">
      <c r="A5" s="40" t="s">
        <v>1078</v>
      </c>
      <c r="B5" s="40" t="s">
        <v>855</v>
      </c>
      <c r="C5" s="40" t="s">
        <v>852</v>
      </c>
      <c r="D5" s="40">
        <v>2.9573530000000001E-2</v>
      </c>
      <c r="E5" s="40" t="s">
        <v>1079</v>
      </c>
    </row>
    <row r="7" spans="1:5" ht="18.3" x14ac:dyDescent="0.7">
      <c r="A7" s="36" t="s">
        <v>1080</v>
      </c>
      <c r="B7" s="36"/>
      <c r="C7" s="36"/>
      <c r="D7" s="36"/>
      <c r="E7" s="36"/>
    </row>
    <row r="8" spans="1:5" x14ac:dyDescent="0.55000000000000004">
      <c r="A8" s="6" t="s">
        <v>42</v>
      </c>
      <c r="B8" s="6" t="s">
        <v>43</v>
      </c>
      <c r="C8" s="6" t="s">
        <v>44</v>
      </c>
      <c r="D8" s="6" t="s">
        <v>45</v>
      </c>
      <c r="E8" s="6" t="s">
        <v>46</v>
      </c>
    </row>
  </sheetData>
  <conditionalFormatting sqref="A1:E1">
    <cfRule type="expression" dxfId="23" priority="4">
      <formula>$B1="attributeName"</formula>
    </cfRule>
  </conditionalFormatting>
  <conditionalFormatting sqref="A3:E5">
    <cfRule type="expression" dxfId="22" priority="2">
      <formula>$B3="attributeName"</formula>
    </cfRule>
  </conditionalFormatting>
  <conditionalFormatting sqref="A7:E7">
    <cfRule type="expression" dxfId="21"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42</v>
      </c>
      <c r="B1" s="2" t="s">
        <v>47</v>
      </c>
      <c r="C1" s="2" t="s">
        <v>43</v>
      </c>
      <c r="D1" s="2" t="s">
        <v>48</v>
      </c>
      <c r="E1" s="2" t="s">
        <v>46</v>
      </c>
      <c r="F1" s="2" t="s">
        <v>49</v>
      </c>
      <c r="G1" s="2" t="s">
        <v>45</v>
      </c>
      <c r="H1" s="2" t="s">
        <v>50</v>
      </c>
      <c r="I1" s="2" t="s">
        <v>44</v>
      </c>
      <c r="J1" s="2" t="s">
        <v>51</v>
      </c>
    </row>
    <row r="2" spans="1:10" x14ac:dyDescent="0.55000000000000004">
      <c r="A2" t="s">
        <v>108</v>
      </c>
      <c r="B2" t="s">
        <v>108</v>
      </c>
      <c r="C2" t="s">
        <v>108</v>
      </c>
      <c r="E2" t="s">
        <v>1077</v>
      </c>
      <c r="F2" t="s">
        <v>53</v>
      </c>
      <c r="G2" t="s">
        <v>53</v>
      </c>
      <c r="H2" t="s">
        <v>53</v>
      </c>
      <c r="I2" t="s">
        <v>53</v>
      </c>
      <c r="J2" t="s">
        <v>53</v>
      </c>
    </row>
    <row r="3" spans="1:10" x14ac:dyDescent="0.55000000000000004">
      <c r="A3" t="s">
        <v>892</v>
      </c>
      <c r="B3" t="s">
        <v>892</v>
      </c>
      <c r="C3" t="s">
        <v>1036</v>
      </c>
      <c r="D3" t="s">
        <v>892</v>
      </c>
      <c r="E3" t="s">
        <v>1076</v>
      </c>
      <c r="F3" t="s">
        <v>1075</v>
      </c>
      <c r="G3">
        <v>1</v>
      </c>
      <c r="H3" t="s">
        <v>53</v>
      </c>
      <c r="I3" t="s">
        <v>53</v>
      </c>
      <c r="J3" t="s">
        <v>53</v>
      </c>
    </row>
    <row r="4" spans="1:10" x14ac:dyDescent="0.55000000000000004">
      <c r="A4" t="s">
        <v>926</v>
      </c>
      <c r="B4" t="s">
        <v>926</v>
      </c>
      <c r="C4" t="s">
        <v>1074</v>
      </c>
      <c r="D4" t="s">
        <v>926</v>
      </c>
      <c r="E4" t="s">
        <v>1073</v>
      </c>
      <c r="F4" t="s">
        <v>360</v>
      </c>
      <c r="G4">
        <v>1</v>
      </c>
      <c r="H4" t="s">
        <v>53</v>
      </c>
      <c r="I4" t="s">
        <v>53</v>
      </c>
      <c r="J4" t="s">
        <v>53</v>
      </c>
    </row>
    <row r="5" spans="1:10" x14ac:dyDescent="0.55000000000000004">
      <c r="A5" t="s">
        <v>995</v>
      </c>
      <c r="B5" t="s">
        <v>995</v>
      </c>
      <c r="C5" t="s">
        <v>1005</v>
      </c>
      <c r="D5" t="s">
        <v>995</v>
      </c>
      <c r="E5" t="s">
        <v>1072</v>
      </c>
      <c r="F5" t="s">
        <v>1071</v>
      </c>
      <c r="G5">
        <v>1</v>
      </c>
      <c r="H5" t="s">
        <v>53</v>
      </c>
      <c r="I5" t="s">
        <v>53</v>
      </c>
      <c r="J5" t="s">
        <v>53</v>
      </c>
    </row>
    <row r="6" spans="1:10" x14ac:dyDescent="0.55000000000000004">
      <c r="A6" t="s">
        <v>989</v>
      </c>
      <c r="B6" t="s">
        <v>989</v>
      </c>
      <c r="C6" t="s">
        <v>1070</v>
      </c>
      <c r="D6" t="s">
        <v>989</v>
      </c>
      <c r="E6" t="s">
        <v>1069</v>
      </c>
      <c r="F6" t="s">
        <v>1068</v>
      </c>
      <c r="G6">
        <v>1</v>
      </c>
      <c r="H6" t="s">
        <v>53</v>
      </c>
      <c r="I6" t="s">
        <v>53</v>
      </c>
      <c r="J6" t="s">
        <v>53</v>
      </c>
    </row>
    <row r="7" spans="1:10" x14ac:dyDescent="0.55000000000000004">
      <c r="A7" t="s">
        <v>1066</v>
      </c>
      <c r="B7" t="s">
        <v>1066</v>
      </c>
      <c r="C7" t="s">
        <v>1067</v>
      </c>
      <c r="D7" t="s">
        <v>1066</v>
      </c>
      <c r="E7" t="s">
        <v>1065</v>
      </c>
      <c r="F7" t="s">
        <v>992</v>
      </c>
      <c r="G7">
        <v>1</v>
      </c>
      <c r="H7" t="s">
        <v>53</v>
      </c>
      <c r="I7" t="s">
        <v>53</v>
      </c>
      <c r="J7" t="s">
        <v>53</v>
      </c>
    </row>
    <row r="8" spans="1:10" x14ac:dyDescent="0.55000000000000004">
      <c r="A8" t="s">
        <v>1063</v>
      </c>
      <c r="B8" t="s">
        <v>1063</v>
      </c>
      <c r="C8" t="s">
        <v>1064</v>
      </c>
      <c r="D8" t="s">
        <v>1063</v>
      </c>
      <c r="E8" t="s">
        <v>1062</v>
      </c>
      <c r="F8" t="s">
        <v>1061</v>
      </c>
      <c r="G8">
        <v>1</v>
      </c>
      <c r="H8" t="s">
        <v>53</v>
      </c>
      <c r="I8" t="s">
        <v>53</v>
      </c>
      <c r="J8" t="s">
        <v>53</v>
      </c>
    </row>
    <row r="9" spans="1:10" x14ac:dyDescent="0.55000000000000004">
      <c r="A9" t="s">
        <v>1059</v>
      </c>
      <c r="B9" t="s">
        <v>1059</v>
      </c>
      <c r="C9" t="s">
        <v>1060</v>
      </c>
      <c r="D9" t="s">
        <v>1059</v>
      </c>
      <c r="E9" t="s">
        <v>1058</v>
      </c>
      <c r="F9" t="s">
        <v>1057</v>
      </c>
      <c r="G9">
        <v>1</v>
      </c>
      <c r="H9" t="s">
        <v>53</v>
      </c>
      <c r="I9" t="s">
        <v>53</v>
      </c>
      <c r="J9" t="s">
        <v>53</v>
      </c>
    </row>
    <row r="10" spans="1:10" ht="28.8" x14ac:dyDescent="0.55000000000000004">
      <c r="A10" t="s">
        <v>1056</v>
      </c>
      <c r="B10" t="s">
        <v>1056</v>
      </c>
      <c r="C10" t="s">
        <v>805</v>
      </c>
      <c r="D10" t="s">
        <v>1056</v>
      </c>
      <c r="E10" s="22" t="s">
        <v>1055</v>
      </c>
      <c r="F10" t="s">
        <v>1054</v>
      </c>
      <c r="G10">
        <v>1</v>
      </c>
      <c r="H10" t="s">
        <v>53</v>
      </c>
      <c r="I10" t="s">
        <v>53</v>
      </c>
      <c r="J10" t="s">
        <v>53</v>
      </c>
    </row>
    <row r="11" spans="1:10" x14ac:dyDescent="0.55000000000000004">
      <c r="A11" t="s">
        <v>1053</v>
      </c>
      <c r="B11" t="s">
        <v>1053</v>
      </c>
      <c r="C11" t="s">
        <v>108</v>
      </c>
      <c r="D11" t="s">
        <v>1052</v>
      </c>
      <c r="E11" t="s">
        <v>1051</v>
      </c>
      <c r="F11" t="s">
        <v>53</v>
      </c>
      <c r="G11" t="s">
        <v>53</v>
      </c>
      <c r="H11" t="s">
        <v>53</v>
      </c>
      <c r="I11" t="s">
        <v>53</v>
      </c>
      <c r="J11" t="s">
        <v>53</v>
      </c>
    </row>
    <row r="12" spans="1:10" x14ac:dyDescent="0.55000000000000004">
      <c r="A12" t="s">
        <v>880</v>
      </c>
      <c r="B12" t="s">
        <v>880</v>
      </c>
      <c r="C12" t="s">
        <v>855</v>
      </c>
      <c r="D12" t="s">
        <v>863</v>
      </c>
      <c r="E12" t="s">
        <v>859</v>
      </c>
      <c r="F12" t="s">
        <v>862</v>
      </c>
      <c r="G12">
        <v>1</v>
      </c>
      <c r="H12" t="s">
        <v>857</v>
      </c>
      <c r="I12" t="s">
        <v>53</v>
      </c>
      <c r="J12" t="s">
        <v>53</v>
      </c>
    </row>
    <row r="13" spans="1:10" x14ac:dyDescent="0.55000000000000004">
      <c r="A13" t="s">
        <v>1050</v>
      </c>
      <c r="B13" t="s">
        <v>1050</v>
      </c>
      <c r="C13" t="s">
        <v>1036</v>
      </c>
      <c r="D13" t="s">
        <v>898</v>
      </c>
      <c r="E13" t="s">
        <v>1049</v>
      </c>
      <c r="F13" t="s">
        <v>53</v>
      </c>
      <c r="G13">
        <v>60</v>
      </c>
      <c r="H13" t="s">
        <v>53</v>
      </c>
      <c r="I13" t="s">
        <v>892</v>
      </c>
      <c r="J13" t="s">
        <v>53</v>
      </c>
    </row>
    <row r="14" spans="1:10" x14ac:dyDescent="0.55000000000000004">
      <c r="A14" t="s">
        <v>1048</v>
      </c>
      <c r="B14" t="s">
        <v>1048</v>
      </c>
      <c r="C14" t="s">
        <v>1036</v>
      </c>
      <c r="D14" t="s">
        <v>895</v>
      </c>
      <c r="E14" t="s">
        <v>1047</v>
      </c>
      <c r="F14" t="s">
        <v>53</v>
      </c>
      <c r="G14">
        <v>3600</v>
      </c>
      <c r="H14" t="s">
        <v>53</v>
      </c>
      <c r="I14" t="s">
        <v>892</v>
      </c>
      <c r="J14" t="s">
        <v>53</v>
      </c>
    </row>
    <row r="15" spans="1:10" x14ac:dyDescent="0.55000000000000004">
      <c r="A15" t="s">
        <v>1046</v>
      </c>
      <c r="B15" t="s">
        <v>1046</v>
      </c>
      <c r="C15" t="s">
        <v>1036</v>
      </c>
      <c r="D15" t="s">
        <v>1045</v>
      </c>
      <c r="E15" t="s">
        <v>1044</v>
      </c>
      <c r="F15" t="s">
        <v>53</v>
      </c>
      <c r="G15">
        <v>86400</v>
      </c>
      <c r="H15" t="s">
        <v>53</v>
      </c>
      <c r="I15" t="s">
        <v>892</v>
      </c>
      <c r="J15" t="s">
        <v>53</v>
      </c>
    </row>
    <row r="16" spans="1:10" x14ac:dyDescent="0.55000000000000004">
      <c r="A16" t="s">
        <v>1043</v>
      </c>
      <c r="B16" t="s">
        <v>1043</v>
      </c>
      <c r="C16" t="s">
        <v>1036</v>
      </c>
      <c r="D16" t="s">
        <v>1042</v>
      </c>
      <c r="E16" t="s">
        <v>1041</v>
      </c>
      <c r="F16" t="s">
        <v>53</v>
      </c>
      <c r="G16">
        <v>604800</v>
      </c>
      <c r="H16" t="s">
        <v>53</v>
      </c>
      <c r="I16" t="s">
        <v>892</v>
      </c>
      <c r="J16" t="s">
        <v>53</v>
      </c>
    </row>
    <row r="17" spans="1:10" x14ac:dyDescent="0.55000000000000004">
      <c r="A17" t="s">
        <v>1040</v>
      </c>
      <c r="B17" t="s">
        <v>1040</v>
      </c>
      <c r="C17" t="s">
        <v>1036</v>
      </c>
      <c r="D17" t="s">
        <v>1039</v>
      </c>
      <c r="E17" t="s">
        <v>1038</v>
      </c>
      <c r="F17" t="s">
        <v>53</v>
      </c>
      <c r="G17">
        <v>31536000</v>
      </c>
      <c r="H17" t="s">
        <v>53</v>
      </c>
      <c r="I17" t="s">
        <v>892</v>
      </c>
      <c r="J17" t="s">
        <v>53</v>
      </c>
    </row>
    <row r="18" spans="1:10" x14ac:dyDescent="0.55000000000000004">
      <c r="A18" t="s">
        <v>1037</v>
      </c>
      <c r="B18" t="s">
        <v>1037</v>
      </c>
      <c r="C18" t="s">
        <v>1036</v>
      </c>
      <c r="D18" t="s">
        <v>1035</v>
      </c>
      <c r="E18" t="s">
        <v>1034</v>
      </c>
      <c r="F18" t="s">
        <v>53</v>
      </c>
      <c r="G18">
        <v>31622400</v>
      </c>
      <c r="H18" t="s">
        <v>53</v>
      </c>
      <c r="I18" t="s">
        <v>892</v>
      </c>
      <c r="J18" t="s">
        <v>53</v>
      </c>
    </row>
    <row r="19" spans="1:10" x14ac:dyDescent="0.55000000000000004">
      <c r="A19" t="s">
        <v>1033</v>
      </c>
      <c r="B19" t="s">
        <v>1033</v>
      </c>
      <c r="C19" t="s">
        <v>1005</v>
      </c>
      <c r="D19" t="s">
        <v>1033</v>
      </c>
      <c r="E19" t="s">
        <v>1032</v>
      </c>
      <c r="F19" t="s">
        <v>1031</v>
      </c>
      <c r="G19">
        <v>9.9999999999999998E-13</v>
      </c>
      <c r="H19" t="s">
        <v>53</v>
      </c>
      <c r="I19" t="s">
        <v>995</v>
      </c>
      <c r="J19" t="s">
        <v>53</v>
      </c>
    </row>
    <row r="20" spans="1:10" x14ac:dyDescent="0.55000000000000004">
      <c r="A20" t="s">
        <v>1030</v>
      </c>
      <c r="B20" t="s">
        <v>1030</v>
      </c>
      <c r="C20" t="s">
        <v>1005</v>
      </c>
      <c r="D20" t="s">
        <v>1030</v>
      </c>
      <c r="E20" t="s">
        <v>1029</v>
      </c>
      <c r="F20" t="s">
        <v>1028</v>
      </c>
      <c r="G20">
        <v>1.0000000000000001E-9</v>
      </c>
      <c r="H20" t="s">
        <v>53</v>
      </c>
      <c r="I20" t="s">
        <v>995</v>
      </c>
      <c r="J20" t="s">
        <v>53</v>
      </c>
    </row>
    <row r="21" spans="1:10" x14ac:dyDescent="0.55000000000000004">
      <c r="A21" t="s">
        <v>1027</v>
      </c>
      <c r="B21" t="s">
        <v>1027</v>
      </c>
      <c r="C21" t="s">
        <v>1005</v>
      </c>
      <c r="D21" t="s">
        <v>1027</v>
      </c>
      <c r="E21" t="s">
        <v>1026</v>
      </c>
      <c r="F21" t="s">
        <v>1025</v>
      </c>
      <c r="G21">
        <v>9.9999999999999995E-7</v>
      </c>
      <c r="H21" t="s">
        <v>53</v>
      </c>
      <c r="I21" t="s">
        <v>995</v>
      </c>
      <c r="J21" t="s">
        <v>53</v>
      </c>
    </row>
    <row r="22" spans="1:10" x14ac:dyDescent="0.55000000000000004">
      <c r="A22" t="s">
        <v>1024</v>
      </c>
      <c r="B22" t="s">
        <v>1024</v>
      </c>
      <c r="C22" t="s">
        <v>1005</v>
      </c>
      <c r="D22" t="s">
        <v>1024</v>
      </c>
      <c r="E22" t="s">
        <v>1023</v>
      </c>
      <c r="F22" t="s">
        <v>1022</v>
      </c>
      <c r="G22">
        <v>1.0000000000000001E-5</v>
      </c>
      <c r="H22" t="s">
        <v>53</v>
      </c>
      <c r="I22" t="s">
        <v>995</v>
      </c>
      <c r="J22" t="s">
        <v>53</v>
      </c>
    </row>
    <row r="23" spans="1:10" x14ac:dyDescent="0.55000000000000004">
      <c r="A23" t="s">
        <v>1021</v>
      </c>
      <c r="B23" t="s">
        <v>1021</v>
      </c>
      <c r="C23" t="s">
        <v>1005</v>
      </c>
      <c r="D23" t="s">
        <v>1021</v>
      </c>
      <c r="E23" t="s">
        <v>1020</v>
      </c>
      <c r="F23" t="s">
        <v>1019</v>
      </c>
      <c r="G23">
        <v>1E-4</v>
      </c>
      <c r="H23" t="s">
        <v>53</v>
      </c>
      <c r="I23" t="s">
        <v>995</v>
      </c>
      <c r="J23" t="s">
        <v>53</v>
      </c>
    </row>
    <row r="24" spans="1:10" x14ac:dyDescent="0.55000000000000004">
      <c r="A24" t="s">
        <v>1018</v>
      </c>
      <c r="B24" t="s">
        <v>1018</v>
      </c>
      <c r="C24" t="s">
        <v>1005</v>
      </c>
      <c r="D24" t="s">
        <v>1018</v>
      </c>
      <c r="E24" t="s">
        <v>1017</v>
      </c>
      <c r="F24" t="s">
        <v>1016</v>
      </c>
      <c r="G24">
        <v>1E-3</v>
      </c>
      <c r="H24" t="s">
        <v>53</v>
      </c>
      <c r="I24" t="s">
        <v>995</v>
      </c>
      <c r="J24" t="s">
        <v>53</v>
      </c>
    </row>
    <row r="25" spans="1:10" x14ac:dyDescent="0.55000000000000004">
      <c r="A25" t="s">
        <v>1015</v>
      </c>
      <c r="B25" t="s">
        <v>1015</v>
      </c>
      <c r="C25" t="s">
        <v>1005</v>
      </c>
      <c r="D25" t="s">
        <v>1015</v>
      </c>
      <c r="E25" t="s">
        <v>1014</v>
      </c>
      <c r="F25" t="s">
        <v>1013</v>
      </c>
      <c r="G25">
        <v>0.01</v>
      </c>
      <c r="H25" t="s">
        <v>53</v>
      </c>
      <c r="I25" t="s">
        <v>995</v>
      </c>
      <c r="J25" t="s">
        <v>53</v>
      </c>
    </row>
    <row r="26" spans="1:10" x14ac:dyDescent="0.55000000000000004">
      <c r="A26" t="s">
        <v>1012</v>
      </c>
      <c r="B26" t="s">
        <v>1012</v>
      </c>
      <c r="C26" t="s">
        <v>1005</v>
      </c>
      <c r="D26" t="s">
        <v>1012</v>
      </c>
      <c r="E26" t="s">
        <v>1011</v>
      </c>
      <c r="F26" t="s">
        <v>1010</v>
      </c>
      <c r="G26">
        <v>0.1</v>
      </c>
      <c r="H26" t="s">
        <v>53</v>
      </c>
      <c r="I26" t="s">
        <v>995</v>
      </c>
      <c r="J26" t="s">
        <v>53</v>
      </c>
    </row>
    <row r="27" spans="1:10" x14ac:dyDescent="0.55000000000000004">
      <c r="A27" t="s">
        <v>1009</v>
      </c>
      <c r="B27" t="s">
        <v>1009</v>
      </c>
      <c r="C27" t="s">
        <v>1005</v>
      </c>
      <c r="D27" t="s">
        <v>1009</v>
      </c>
      <c r="E27" t="s">
        <v>1008</v>
      </c>
      <c r="F27" t="s">
        <v>1007</v>
      </c>
      <c r="G27">
        <v>1000</v>
      </c>
      <c r="H27" t="s">
        <v>53</v>
      </c>
      <c r="I27" t="s">
        <v>995</v>
      </c>
      <c r="J27" t="s">
        <v>53</v>
      </c>
    </row>
    <row r="28" spans="1:10" ht="43.2" x14ac:dyDescent="0.55000000000000004">
      <c r="A28" t="s">
        <v>1006</v>
      </c>
      <c r="B28" t="s">
        <v>1006</v>
      </c>
      <c r="C28" t="s">
        <v>1005</v>
      </c>
      <c r="D28" t="s">
        <v>1004</v>
      </c>
      <c r="E28" s="22" t="s">
        <v>1003</v>
      </c>
      <c r="F28" t="s">
        <v>725</v>
      </c>
      <c r="G28">
        <v>1000</v>
      </c>
      <c r="H28" t="s">
        <v>53</v>
      </c>
      <c r="I28" t="s">
        <v>995</v>
      </c>
      <c r="J28" t="s">
        <v>53</v>
      </c>
    </row>
    <row r="29" spans="1:10" ht="28.8" x14ac:dyDescent="0.55000000000000004">
      <c r="A29" t="s">
        <v>1002</v>
      </c>
      <c r="B29" t="s">
        <v>1002</v>
      </c>
      <c r="C29" t="s">
        <v>53</v>
      </c>
      <c r="D29" t="s">
        <v>1001</v>
      </c>
      <c r="E29" s="22" t="s">
        <v>1000</v>
      </c>
      <c r="F29" t="s">
        <v>999</v>
      </c>
      <c r="G29">
        <v>0.4536</v>
      </c>
      <c r="H29" t="s">
        <v>53</v>
      </c>
      <c r="I29" t="s">
        <v>995</v>
      </c>
      <c r="J29" t="s">
        <v>53</v>
      </c>
    </row>
    <row r="30" spans="1:10" x14ac:dyDescent="0.55000000000000004">
      <c r="A30" t="s">
        <v>996</v>
      </c>
      <c r="B30" t="s">
        <v>996</v>
      </c>
      <c r="C30" t="s">
        <v>53</v>
      </c>
      <c r="D30" t="s">
        <v>998</v>
      </c>
      <c r="E30" t="s">
        <v>997</v>
      </c>
      <c r="F30" t="s">
        <v>996</v>
      </c>
      <c r="G30">
        <v>907.19989999999996</v>
      </c>
      <c r="H30" t="s">
        <v>53</v>
      </c>
      <c r="I30" t="s">
        <v>995</v>
      </c>
      <c r="J30" t="s">
        <v>53</v>
      </c>
    </row>
    <row r="31" spans="1:10" x14ac:dyDescent="0.55000000000000004">
      <c r="A31" t="s">
        <v>994</v>
      </c>
      <c r="B31" t="s">
        <v>994</v>
      </c>
      <c r="C31" t="s">
        <v>53</v>
      </c>
      <c r="D31" t="s">
        <v>994</v>
      </c>
      <c r="E31" t="s">
        <v>993</v>
      </c>
      <c r="F31" t="s">
        <v>992</v>
      </c>
      <c r="G31">
        <v>1</v>
      </c>
      <c r="H31" t="s">
        <v>53</v>
      </c>
      <c r="I31" t="s">
        <v>989</v>
      </c>
      <c r="J31">
        <v>273.18</v>
      </c>
    </row>
    <row r="32" spans="1:10" ht="28.8" x14ac:dyDescent="0.55000000000000004">
      <c r="A32" t="s">
        <v>991</v>
      </c>
      <c r="B32" t="s">
        <v>991</v>
      </c>
      <c r="C32" t="s">
        <v>53</v>
      </c>
      <c r="D32" t="s">
        <v>991</v>
      </c>
      <c r="E32" s="22" t="s">
        <v>990</v>
      </c>
      <c r="F32" t="s">
        <v>754</v>
      </c>
      <c r="G32">
        <v>0.55600000000000005</v>
      </c>
      <c r="H32" t="s">
        <v>53</v>
      </c>
      <c r="I32" t="s">
        <v>989</v>
      </c>
      <c r="J32">
        <v>255.40199999999999</v>
      </c>
    </row>
    <row r="33" spans="1:10" x14ac:dyDescent="0.55000000000000004">
      <c r="A33" t="s">
        <v>988</v>
      </c>
      <c r="B33" t="s">
        <v>988</v>
      </c>
      <c r="C33" t="s">
        <v>53</v>
      </c>
      <c r="D33" t="s">
        <v>988</v>
      </c>
      <c r="E33" t="s">
        <v>987</v>
      </c>
      <c r="F33" t="s">
        <v>986</v>
      </c>
      <c r="G33">
        <v>1.0000000000000001E-9</v>
      </c>
      <c r="H33" t="s">
        <v>53</v>
      </c>
      <c r="I33" t="s">
        <v>926</v>
      </c>
      <c r="J33" t="s">
        <v>53</v>
      </c>
    </row>
    <row r="34" spans="1:10" x14ac:dyDescent="0.55000000000000004">
      <c r="A34" t="s">
        <v>981</v>
      </c>
      <c r="B34" t="s">
        <v>981</v>
      </c>
      <c r="C34" t="s">
        <v>53</v>
      </c>
      <c r="D34" t="s">
        <v>981</v>
      </c>
      <c r="E34" t="s">
        <v>983</v>
      </c>
      <c r="F34" t="s">
        <v>985</v>
      </c>
      <c r="G34">
        <v>9.9999999999999995E-7</v>
      </c>
      <c r="H34" t="s">
        <v>53</v>
      </c>
      <c r="I34" t="s">
        <v>926</v>
      </c>
      <c r="J34" t="s">
        <v>53</v>
      </c>
    </row>
    <row r="35" spans="1:10" x14ac:dyDescent="0.55000000000000004">
      <c r="A35" t="s">
        <v>984</v>
      </c>
      <c r="B35" t="s">
        <v>984</v>
      </c>
      <c r="C35" t="s">
        <v>53</v>
      </c>
      <c r="D35" t="s">
        <v>981</v>
      </c>
      <c r="E35" t="s">
        <v>983</v>
      </c>
      <c r="F35" t="s">
        <v>982</v>
      </c>
      <c r="G35">
        <v>9.9999999999999995E-7</v>
      </c>
      <c r="H35" t="s">
        <v>981</v>
      </c>
      <c r="I35" t="s">
        <v>926</v>
      </c>
      <c r="J35" t="s">
        <v>53</v>
      </c>
    </row>
    <row r="36" spans="1:10" x14ac:dyDescent="0.55000000000000004">
      <c r="A36" t="s">
        <v>980</v>
      </c>
      <c r="B36" t="s">
        <v>980</v>
      </c>
      <c r="C36" t="s">
        <v>53</v>
      </c>
      <c r="D36" t="s">
        <v>980</v>
      </c>
      <c r="E36" t="s">
        <v>979</v>
      </c>
      <c r="F36" t="s">
        <v>978</v>
      </c>
      <c r="G36">
        <v>1E-3</v>
      </c>
      <c r="H36" t="s">
        <v>53</v>
      </c>
      <c r="I36" t="s">
        <v>926</v>
      </c>
      <c r="J36" t="s">
        <v>53</v>
      </c>
    </row>
    <row r="37" spans="1:10" x14ac:dyDescent="0.55000000000000004">
      <c r="A37" t="s">
        <v>977</v>
      </c>
      <c r="B37" t="s">
        <v>977</v>
      </c>
      <c r="C37" t="s">
        <v>53</v>
      </c>
      <c r="D37" t="s">
        <v>977</v>
      </c>
      <c r="E37" t="s">
        <v>976</v>
      </c>
      <c r="F37" t="s">
        <v>975</v>
      </c>
      <c r="G37">
        <v>0.01</v>
      </c>
      <c r="H37" t="s">
        <v>53</v>
      </c>
      <c r="I37" t="s">
        <v>926</v>
      </c>
      <c r="J37" t="s">
        <v>53</v>
      </c>
    </row>
    <row r="38" spans="1:10" x14ac:dyDescent="0.55000000000000004">
      <c r="A38" t="s">
        <v>974</v>
      </c>
      <c r="B38" t="s">
        <v>974</v>
      </c>
      <c r="C38" t="s">
        <v>53</v>
      </c>
      <c r="D38" t="s">
        <v>974</v>
      </c>
      <c r="E38" t="s">
        <v>973</v>
      </c>
      <c r="F38" t="s">
        <v>972</v>
      </c>
      <c r="G38">
        <v>0.1</v>
      </c>
      <c r="H38" t="s">
        <v>53</v>
      </c>
      <c r="I38" t="s">
        <v>926</v>
      </c>
      <c r="J38" t="s">
        <v>53</v>
      </c>
    </row>
    <row r="39" spans="1:10" x14ac:dyDescent="0.55000000000000004">
      <c r="A39" t="s">
        <v>971</v>
      </c>
      <c r="B39" t="s">
        <v>971</v>
      </c>
      <c r="C39" t="s">
        <v>53</v>
      </c>
      <c r="D39" t="s">
        <v>971</v>
      </c>
      <c r="E39" t="s">
        <v>970</v>
      </c>
      <c r="F39" t="s">
        <v>969</v>
      </c>
      <c r="G39">
        <v>10</v>
      </c>
      <c r="H39" t="s">
        <v>53</v>
      </c>
      <c r="I39" t="s">
        <v>926</v>
      </c>
      <c r="J39" t="s">
        <v>53</v>
      </c>
    </row>
    <row r="40" spans="1:10" x14ac:dyDescent="0.55000000000000004">
      <c r="A40" t="s">
        <v>968</v>
      </c>
      <c r="B40" t="s">
        <v>968</v>
      </c>
      <c r="C40" t="s">
        <v>53</v>
      </c>
      <c r="D40" t="s">
        <v>968</v>
      </c>
      <c r="E40" t="s">
        <v>967</v>
      </c>
      <c r="F40" t="s">
        <v>966</v>
      </c>
      <c r="G40">
        <v>100</v>
      </c>
      <c r="H40" t="s">
        <v>53</v>
      </c>
      <c r="I40" t="s">
        <v>926</v>
      </c>
      <c r="J40" t="s">
        <v>53</v>
      </c>
    </row>
    <row r="41" spans="1:10" x14ac:dyDescent="0.55000000000000004">
      <c r="A41" t="s">
        <v>965</v>
      </c>
      <c r="B41" t="s">
        <v>965</v>
      </c>
      <c r="C41" t="s">
        <v>53</v>
      </c>
      <c r="D41" t="s">
        <v>965</v>
      </c>
      <c r="E41" t="s">
        <v>964</v>
      </c>
      <c r="F41" t="s">
        <v>963</v>
      </c>
      <c r="G41">
        <v>1000</v>
      </c>
      <c r="H41" t="s">
        <v>53</v>
      </c>
      <c r="I41" t="s">
        <v>926</v>
      </c>
      <c r="J41" t="s">
        <v>53</v>
      </c>
    </row>
    <row r="42" spans="1:10" x14ac:dyDescent="0.55000000000000004">
      <c r="A42" t="s">
        <v>962</v>
      </c>
      <c r="B42" t="s">
        <v>962</v>
      </c>
      <c r="C42" t="s">
        <v>53</v>
      </c>
      <c r="D42" t="s">
        <v>962</v>
      </c>
      <c r="E42" t="s">
        <v>961</v>
      </c>
      <c r="F42" t="s">
        <v>960</v>
      </c>
      <c r="G42">
        <v>1000000</v>
      </c>
      <c r="H42" t="s">
        <v>53</v>
      </c>
      <c r="I42" t="s">
        <v>926</v>
      </c>
      <c r="J42" t="s">
        <v>53</v>
      </c>
    </row>
    <row r="43" spans="1:10" x14ac:dyDescent="0.55000000000000004">
      <c r="A43" t="s">
        <v>959</v>
      </c>
      <c r="B43" t="s">
        <v>959</v>
      </c>
      <c r="C43" t="s">
        <v>53</v>
      </c>
      <c r="D43" t="s">
        <v>959</v>
      </c>
      <c r="E43" t="s">
        <v>958</v>
      </c>
      <c r="F43" t="s">
        <v>957</v>
      </c>
      <c r="G43">
        <v>1E-10</v>
      </c>
      <c r="H43" t="s">
        <v>53</v>
      </c>
      <c r="I43" t="s">
        <v>926</v>
      </c>
      <c r="J43" t="s">
        <v>53</v>
      </c>
    </row>
    <row r="44" spans="1:10" ht="28.8" x14ac:dyDescent="0.55000000000000004">
      <c r="A44" t="s">
        <v>956</v>
      </c>
      <c r="B44" t="s">
        <v>956</v>
      </c>
      <c r="C44" t="s">
        <v>53</v>
      </c>
      <c r="D44" t="s">
        <v>955</v>
      </c>
      <c r="E44" s="22" t="s">
        <v>954</v>
      </c>
      <c r="F44" t="s">
        <v>953</v>
      </c>
      <c r="G44">
        <v>2.5399999999999999E-2</v>
      </c>
      <c r="H44" t="s">
        <v>53</v>
      </c>
      <c r="I44" t="s">
        <v>926</v>
      </c>
      <c r="J44" t="s">
        <v>53</v>
      </c>
    </row>
    <row r="45" spans="1:10" x14ac:dyDescent="0.55000000000000004">
      <c r="A45" t="s">
        <v>952</v>
      </c>
      <c r="B45" t="s">
        <v>952</v>
      </c>
      <c r="C45" t="s">
        <v>53</v>
      </c>
      <c r="D45" t="s">
        <v>951</v>
      </c>
      <c r="E45" t="s">
        <v>945</v>
      </c>
      <c r="F45" t="s">
        <v>950</v>
      </c>
      <c r="G45">
        <v>0.30480059999999998</v>
      </c>
      <c r="H45" t="s">
        <v>53</v>
      </c>
      <c r="I45" t="s">
        <v>926</v>
      </c>
      <c r="J45" t="s">
        <v>53</v>
      </c>
    </row>
    <row r="46" spans="1:10" x14ac:dyDescent="0.55000000000000004">
      <c r="A46" t="s">
        <v>949</v>
      </c>
      <c r="B46" t="s">
        <v>949</v>
      </c>
      <c r="C46" t="s">
        <v>53</v>
      </c>
      <c r="D46" t="s">
        <v>948</v>
      </c>
      <c r="E46" t="s">
        <v>945</v>
      </c>
      <c r="F46" t="s">
        <v>947</v>
      </c>
      <c r="G46">
        <v>0.30480000000000002</v>
      </c>
      <c r="H46" t="s">
        <v>53</v>
      </c>
      <c r="I46" t="s">
        <v>926</v>
      </c>
      <c r="J46" t="s">
        <v>53</v>
      </c>
    </row>
    <row r="47" spans="1:10" x14ac:dyDescent="0.55000000000000004">
      <c r="A47" t="s">
        <v>946</v>
      </c>
      <c r="B47" t="s">
        <v>946</v>
      </c>
      <c r="C47" t="s">
        <v>53</v>
      </c>
      <c r="E47" t="s">
        <v>945</v>
      </c>
      <c r="F47" t="s">
        <v>944</v>
      </c>
      <c r="G47">
        <v>0.30479970000000001</v>
      </c>
      <c r="H47" t="s">
        <v>53</v>
      </c>
      <c r="I47" t="s">
        <v>926</v>
      </c>
      <c r="J47" t="s">
        <v>53</v>
      </c>
    </row>
    <row r="48" spans="1:10" x14ac:dyDescent="0.55000000000000004">
      <c r="A48" t="s">
        <v>943</v>
      </c>
      <c r="B48" t="s">
        <v>943</v>
      </c>
      <c r="C48" t="s">
        <v>53</v>
      </c>
      <c r="D48" t="s">
        <v>943</v>
      </c>
      <c r="E48" t="s">
        <v>942</v>
      </c>
      <c r="F48" t="s">
        <v>53</v>
      </c>
      <c r="G48">
        <v>1.8288</v>
      </c>
      <c r="H48" t="s">
        <v>53</v>
      </c>
      <c r="I48" t="s">
        <v>926</v>
      </c>
      <c r="J48" t="s">
        <v>53</v>
      </c>
    </row>
    <row r="49" spans="1:10" ht="28.8" x14ac:dyDescent="0.55000000000000004">
      <c r="A49" t="s">
        <v>941</v>
      </c>
      <c r="B49" t="s">
        <v>941</v>
      </c>
      <c r="C49" t="s">
        <v>53</v>
      </c>
      <c r="D49" t="s">
        <v>940</v>
      </c>
      <c r="E49" s="22" t="s">
        <v>939</v>
      </c>
      <c r="F49" t="s">
        <v>53</v>
      </c>
      <c r="G49">
        <v>1852</v>
      </c>
      <c r="H49" t="s">
        <v>53</v>
      </c>
      <c r="I49" t="s">
        <v>926</v>
      </c>
      <c r="J49" t="s">
        <v>53</v>
      </c>
    </row>
    <row r="50" spans="1:10" x14ac:dyDescent="0.55000000000000004">
      <c r="A50" t="s">
        <v>930</v>
      </c>
      <c r="B50" t="s">
        <v>930</v>
      </c>
      <c r="C50" t="s">
        <v>53</v>
      </c>
      <c r="D50" t="s">
        <v>938</v>
      </c>
      <c r="E50" t="s">
        <v>937</v>
      </c>
      <c r="F50" t="s">
        <v>930</v>
      </c>
      <c r="G50">
        <v>0.91439999999999999</v>
      </c>
      <c r="H50" t="s">
        <v>53</v>
      </c>
      <c r="I50" t="s">
        <v>926</v>
      </c>
      <c r="J50" t="s">
        <v>53</v>
      </c>
    </row>
    <row r="51" spans="1:10" ht="28.8" x14ac:dyDescent="0.55000000000000004">
      <c r="A51" t="s">
        <v>936</v>
      </c>
      <c r="B51" t="s">
        <v>936</v>
      </c>
      <c r="C51" t="s">
        <v>53</v>
      </c>
      <c r="E51" s="22" t="s">
        <v>932</v>
      </c>
      <c r="F51" t="s">
        <v>53</v>
      </c>
      <c r="G51" s="34" t="s">
        <v>935</v>
      </c>
      <c r="H51" t="s">
        <v>53</v>
      </c>
      <c r="I51" t="s">
        <v>926</v>
      </c>
      <c r="J51" t="s">
        <v>53</v>
      </c>
    </row>
    <row r="52" spans="1:10" ht="28.8" x14ac:dyDescent="0.55000000000000004">
      <c r="A52" t="s">
        <v>934</v>
      </c>
      <c r="B52" t="s">
        <v>934</v>
      </c>
      <c r="C52" t="s">
        <v>53</v>
      </c>
      <c r="E52" s="22" t="s">
        <v>932</v>
      </c>
      <c r="F52" t="s">
        <v>53</v>
      </c>
      <c r="G52">
        <v>0.20116619490000001</v>
      </c>
      <c r="H52" t="s">
        <v>53</v>
      </c>
      <c r="I52" t="s">
        <v>926</v>
      </c>
      <c r="J52" t="s">
        <v>53</v>
      </c>
    </row>
    <row r="53" spans="1:10" ht="28.8" x14ac:dyDescent="0.55000000000000004">
      <c r="A53" t="s">
        <v>933</v>
      </c>
      <c r="B53" t="s">
        <v>933</v>
      </c>
      <c r="C53" t="s">
        <v>53</v>
      </c>
      <c r="E53" s="22" t="s">
        <v>932</v>
      </c>
      <c r="F53" t="s">
        <v>53</v>
      </c>
      <c r="G53" s="34" t="s">
        <v>931</v>
      </c>
      <c r="H53" t="s">
        <v>930</v>
      </c>
      <c r="I53" t="s">
        <v>926</v>
      </c>
      <c r="J53" t="s">
        <v>53</v>
      </c>
    </row>
    <row r="54" spans="1:10" x14ac:dyDescent="0.55000000000000004">
      <c r="A54" t="s">
        <v>927</v>
      </c>
      <c r="B54" t="s">
        <v>927</v>
      </c>
      <c r="C54" t="s">
        <v>53</v>
      </c>
      <c r="D54" t="s">
        <v>929</v>
      </c>
      <c r="E54" t="s">
        <v>928</v>
      </c>
      <c r="F54" t="s">
        <v>927</v>
      </c>
      <c r="G54">
        <v>1609.3440000000001</v>
      </c>
      <c r="H54" t="s">
        <v>53</v>
      </c>
      <c r="I54" t="s">
        <v>926</v>
      </c>
      <c r="J54" t="s">
        <v>53</v>
      </c>
    </row>
    <row r="55" spans="1:10" x14ac:dyDescent="0.55000000000000004">
      <c r="A55" t="s">
        <v>925</v>
      </c>
      <c r="B55" t="s">
        <v>925</v>
      </c>
      <c r="C55" t="s">
        <v>53</v>
      </c>
      <c r="D55" t="s">
        <v>925</v>
      </c>
      <c r="E55" t="s">
        <v>924</v>
      </c>
      <c r="F55" t="s">
        <v>923</v>
      </c>
      <c r="G55">
        <v>1.0000000000000001E-9</v>
      </c>
      <c r="H55" t="s">
        <v>53</v>
      </c>
      <c r="I55" t="s">
        <v>892</v>
      </c>
      <c r="J55" t="s">
        <v>53</v>
      </c>
    </row>
    <row r="56" spans="1:10" x14ac:dyDescent="0.55000000000000004">
      <c r="A56" t="s">
        <v>922</v>
      </c>
      <c r="B56" t="s">
        <v>922</v>
      </c>
      <c r="C56" t="s">
        <v>53</v>
      </c>
      <c r="D56" t="s">
        <v>922</v>
      </c>
      <c r="E56" t="s">
        <v>921</v>
      </c>
      <c r="F56" t="s">
        <v>920</v>
      </c>
      <c r="G56">
        <v>9.9999999999999995E-7</v>
      </c>
      <c r="H56" t="s">
        <v>53</v>
      </c>
      <c r="I56" t="s">
        <v>892</v>
      </c>
      <c r="J56" t="s">
        <v>53</v>
      </c>
    </row>
    <row r="57" spans="1:10" x14ac:dyDescent="0.55000000000000004">
      <c r="A57" t="s">
        <v>919</v>
      </c>
      <c r="B57" t="s">
        <v>919</v>
      </c>
      <c r="C57" t="s">
        <v>53</v>
      </c>
      <c r="D57" t="s">
        <v>919</v>
      </c>
      <c r="E57" t="s">
        <v>918</v>
      </c>
      <c r="F57" t="s">
        <v>917</v>
      </c>
      <c r="G57">
        <v>1E-3</v>
      </c>
      <c r="H57" t="s">
        <v>53</v>
      </c>
      <c r="I57" t="s">
        <v>892</v>
      </c>
      <c r="J57" t="s">
        <v>53</v>
      </c>
    </row>
    <row r="58" spans="1:10" x14ac:dyDescent="0.55000000000000004">
      <c r="A58" t="s">
        <v>916</v>
      </c>
      <c r="B58" t="s">
        <v>916</v>
      </c>
      <c r="C58" t="s">
        <v>53</v>
      </c>
      <c r="D58" t="s">
        <v>916</v>
      </c>
      <c r="E58" t="s">
        <v>915</v>
      </c>
      <c r="F58" t="s">
        <v>914</v>
      </c>
      <c r="G58">
        <v>0.01</v>
      </c>
      <c r="H58" t="s">
        <v>53</v>
      </c>
      <c r="I58" t="s">
        <v>892</v>
      </c>
      <c r="J58" t="s">
        <v>53</v>
      </c>
    </row>
    <row r="59" spans="1:10" x14ac:dyDescent="0.55000000000000004">
      <c r="A59" t="s">
        <v>913</v>
      </c>
      <c r="B59" t="s">
        <v>913</v>
      </c>
      <c r="C59" t="s">
        <v>53</v>
      </c>
      <c r="D59" t="s">
        <v>913</v>
      </c>
      <c r="E59" t="s">
        <v>912</v>
      </c>
      <c r="F59" t="s">
        <v>911</v>
      </c>
      <c r="G59">
        <v>0.1</v>
      </c>
      <c r="H59" t="s">
        <v>53</v>
      </c>
      <c r="I59" t="s">
        <v>892</v>
      </c>
      <c r="J59" t="s">
        <v>53</v>
      </c>
    </row>
    <row r="60" spans="1:10" x14ac:dyDescent="0.55000000000000004">
      <c r="A60" t="s">
        <v>910</v>
      </c>
      <c r="B60" t="s">
        <v>910</v>
      </c>
      <c r="C60" t="s">
        <v>53</v>
      </c>
      <c r="D60" t="s">
        <v>910</v>
      </c>
      <c r="E60" t="s">
        <v>909</v>
      </c>
      <c r="F60" t="s">
        <v>908</v>
      </c>
      <c r="G60">
        <v>10</v>
      </c>
      <c r="H60" t="s">
        <v>53</v>
      </c>
      <c r="I60" t="s">
        <v>892</v>
      </c>
      <c r="J60" t="s">
        <v>53</v>
      </c>
    </row>
    <row r="61" spans="1:10" x14ac:dyDescent="0.55000000000000004">
      <c r="A61" t="s">
        <v>907</v>
      </c>
      <c r="B61" t="s">
        <v>907</v>
      </c>
      <c r="C61" t="s">
        <v>53</v>
      </c>
      <c r="D61" t="s">
        <v>907</v>
      </c>
      <c r="E61" t="s">
        <v>906</v>
      </c>
      <c r="F61" t="s">
        <v>905</v>
      </c>
      <c r="G61">
        <v>100</v>
      </c>
      <c r="H61" t="s">
        <v>53</v>
      </c>
      <c r="I61" t="s">
        <v>892</v>
      </c>
      <c r="J61" t="s">
        <v>53</v>
      </c>
    </row>
    <row r="62" spans="1:10" x14ac:dyDescent="0.55000000000000004">
      <c r="A62" t="s">
        <v>904</v>
      </c>
      <c r="B62" t="s">
        <v>904</v>
      </c>
      <c r="C62" t="s">
        <v>53</v>
      </c>
      <c r="D62" t="s">
        <v>904</v>
      </c>
      <c r="E62" t="s">
        <v>903</v>
      </c>
      <c r="F62" t="s">
        <v>902</v>
      </c>
      <c r="G62">
        <v>1000</v>
      </c>
      <c r="H62" t="s">
        <v>53</v>
      </c>
      <c r="I62" t="s">
        <v>892</v>
      </c>
      <c r="J62" t="s">
        <v>53</v>
      </c>
    </row>
    <row r="63" spans="1:10" x14ac:dyDescent="0.55000000000000004">
      <c r="A63" t="s">
        <v>901</v>
      </c>
      <c r="B63" t="s">
        <v>901</v>
      </c>
      <c r="C63" t="s">
        <v>53</v>
      </c>
      <c r="D63" t="s">
        <v>901</v>
      </c>
      <c r="E63" t="s">
        <v>900</v>
      </c>
      <c r="F63" t="s">
        <v>899</v>
      </c>
      <c r="G63">
        <v>1000000</v>
      </c>
      <c r="H63" t="s">
        <v>53</v>
      </c>
      <c r="I63" t="s">
        <v>892</v>
      </c>
      <c r="J63" t="s">
        <v>53</v>
      </c>
    </row>
    <row r="64" spans="1:10" x14ac:dyDescent="0.55000000000000004">
      <c r="A64" t="s">
        <v>898</v>
      </c>
      <c r="B64" t="s">
        <v>898</v>
      </c>
      <c r="C64" t="s">
        <v>53</v>
      </c>
      <c r="D64" t="s">
        <v>898</v>
      </c>
      <c r="E64" t="s">
        <v>897</v>
      </c>
      <c r="F64" t="s">
        <v>896</v>
      </c>
      <c r="G64">
        <v>60</v>
      </c>
      <c r="H64" t="s">
        <v>53</v>
      </c>
      <c r="I64" t="s">
        <v>892</v>
      </c>
      <c r="J64" t="s">
        <v>53</v>
      </c>
    </row>
    <row r="65" spans="1:10" x14ac:dyDescent="0.55000000000000004">
      <c r="A65" t="s">
        <v>895</v>
      </c>
      <c r="B65" t="s">
        <v>895</v>
      </c>
      <c r="C65" t="s">
        <v>53</v>
      </c>
      <c r="D65" t="s">
        <v>895</v>
      </c>
      <c r="E65" t="s">
        <v>894</v>
      </c>
      <c r="F65" t="s">
        <v>893</v>
      </c>
      <c r="G65">
        <v>3600</v>
      </c>
      <c r="H65" t="s">
        <v>53</v>
      </c>
      <c r="I65" t="s">
        <v>892</v>
      </c>
      <c r="J65" t="s">
        <v>53</v>
      </c>
    </row>
    <row r="66" spans="1:10" x14ac:dyDescent="0.55000000000000004">
      <c r="A66" t="s">
        <v>891</v>
      </c>
      <c r="B66" t="s">
        <v>891</v>
      </c>
      <c r="C66" t="s">
        <v>855</v>
      </c>
      <c r="D66" t="s">
        <v>891</v>
      </c>
      <c r="E66" t="s">
        <v>890</v>
      </c>
      <c r="F66" t="s">
        <v>889</v>
      </c>
      <c r="G66">
        <v>1</v>
      </c>
      <c r="H66" t="s">
        <v>53</v>
      </c>
      <c r="I66" t="s">
        <v>880</v>
      </c>
      <c r="J66" t="s">
        <v>53</v>
      </c>
    </row>
    <row r="67" spans="1:10" x14ac:dyDescent="0.55000000000000004">
      <c r="A67" t="s">
        <v>888</v>
      </c>
      <c r="B67" t="s">
        <v>888</v>
      </c>
      <c r="C67" t="s">
        <v>855</v>
      </c>
      <c r="D67" t="s">
        <v>888</v>
      </c>
      <c r="E67" t="s">
        <v>887</v>
      </c>
      <c r="F67" t="s">
        <v>886</v>
      </c>
      <c r="G67">
        <v>1.0000000000000001E-9</v>
      </c>
      <c r="H67" t="s">
        <v>53</v>
      </c>
      <c r="I67" t="s">
        <v>880</v>
      </c>
      <c r="J67" t="s">
        <v>53</v>
      </c>
    </row>
    <row r="68" spans="1:10" x14ac:dyDescent="0.55000000000000004">
      <c r="A68" t="s">
        <v>885</v>
      </c>
      <c r="B68" t="s">
        <v>885</v>
      </c>
      <c r="C68" t="s">
        <v>855</v>
      </c>
      <c r="D68" t="s">
        <v>885</v>
      </c>
      <c r="E68" t="s">
        <v>884</v>
      </c>
      <c r="F68" t="s">
        <v>883</v>
      </c>
      <c r="G68">
        <v>9.9999999999999995E-7</v>
      </c>
      <c r="H68" t="s">
        <v>53</v>
      </c>
      <c r="I68" t="s">
        <v>880</v>
      </c>
      <c r="J68" t="s">
        <v>53</v>
      </c>
    </row>
    <row r="69" spans="1:10" x14ac:dyDescent="0.55000000000000004">
      <c r="A69" t="s">
        <v>852</v>
      </c>
      <c r="B69" t="s">
        <v>852</v>
      </c>
      <c r="C69" t="s">
        <v>855</v>
      </c>
      <c r="D69" t="s">
        <v>852</v>
      </c>
      <c r="E69" t="s">
        <v>882</v>
      </c>
      <c r="F69" t="s">
        <v>881</v>
      </c>
      <c r="G69">
        <v>1E-3</v>
      </c>
      <c r="H69" t="s">
        <v>53</v>
      </c>
      <c r="I69" t="s">
        <v>880</v>
      </c>
      <c r="J69" t="s">
        <v>53</v>
      </c>
    </row>
    <row r="70" spans="1:10" x14ac:dyDescent="0.55000000000000004">
      <c r="A70" t="s">
        <v>879</v>
      </c>
      <c r="B70" t="s">
        <v>879</v>
      </c>
      <c r="C70" t="s">
        <v>53</v>
      </c>
      <c r="D70" t="s">
        <v>878</v>
      </c>
      <c r="E70" t="s">
        <v>877</v>
      </c>
      <c r="F70" t="s">
        <v>876</v>
      </c>
      <c r="G70">
        <v>3.785412</v>
      </c>
      <c r="H70" t="s">
        <v>53</v>
      </c>
      <c r="I70" t="s">
        <v>852</v>
      </c>
      <c r="J70" t="s">
        <v>53</v>
      </c>
    </row>
    <row r="71" spans="1:10" x14ac:dyDescent="0.55000000000000004">
      <c r="A71" t="s">
        <v>875</v>
      </c>
      <c r="B71" t="s">
        <v>875</v>
      </c>
      <c r="C71" t="s">
        <v>53</v>
      </c>
      <c r="D71" t="s">
        <v>874</v>
      </c>
      <c r="E71" t="s">
        <v>873</v>
      </c>
      <c r="F71" t="s">
        <v>872</v>
      </c>
      <c r="G71">
        <v>0.946353</v>
      </c>
      <c r="H71" t="s">
        <v>53</v>
      </c>
      <c r="I71" t="s">
        <v>852</v>
      </c>
      <c r="J71" t="s">
        <v>53</v>
      </c>
    </row>
    <row r="72" spans="1:10" x14ac:dyDescent="0.55000000000000004">
      <c r="A72" t="s">
        <v>871</v>
      </c>
      <c r="B72" t="s">
        <v>871</v>
      </c>
      <c r="C72" t="s">
        <v>855</v>
      </c>
      <c r="D72" t="s">
        <v>871</v>
      </c>
      <c r="E72" t="s">
        <v>870</v>
      </c>
      <c r="F72" t="s">
        <v>869</v>
      </c>
      <c r="G72">
        <v>35.239069999999998</v>
      </c>
      <c r="H72" t="s">
        <v>53</v>
      </c>
      <c r="I72" t="s">
        <v>852</v>
      </c>
      <c r="J72" t="s">
        <v>53</v>
      </c>
    </row>
    <row r="73" spans="1:10" x14ac:dyDescent="0.55000000000000004">
      <c r="A73" t="s">
        <v>868</v>
      </c>
      <c r="B73" t="s">
        <v>868</v>
      </c>
      <c r="C73" t="s">
        <v>855</v>
      </c>
      <c r="D73" t="s">
        <v>854</v>
      </c>
      <c r="E73" t="s">
        <v>867</v>
      </c>
      <c r="F73" t="s">
        <v>853</v>
      </c>
      <c r="G73">
        <v>1.6387059999999998E-2</v>
      </c>
      <c r="H73" t="s">
        <v>856</v>
      </c>
      <c r="I73" t="s">
        <v>852</v>
      </c>
      <c r="J73" t="s">
        <v>53</v>
      </c>
    </row>
    <row r="74" spans="1:10" x14ac:dyDescent="0.55000000000000004">
      <c r="A74" t="s">
        <v>864</v>
      </c>
      <c r="B74" t="s">
        <v>864</v>
      </c>
      <c r="C74" t="s">
        <v>53</v>
      </c>
      <c r="D74" t="s">
        <v>866</v>
      </c>
      <c r="E74" t="s">
        <v>865</v>
      </c>
      <c r="F74" t="s">
        <v>864</v>
      </c>
      <c r="G74">
        <v>0.47317599999999999</v>
      </c>
      <c r="H74" t="s">
        <v>53</v>
      </c>
      <c r="I74" t="s">
        <v>852</v>
      </c>
      <c r="J74" t="s">
        <v>53</v>
      </c>
    </row>
    <row r="75" spans="1:10" x14ac:dyDescent="0.55000000000000004">
      <c r="A75" t="s">
        <v>857</v>
      </c>
      <c r="B75" t="s">
        <v>857</v>
      </c>
      <c r="C75" t="s">
        <v>855</v>
      </c>
      <c r="D75" t="s">
        <v>863</v>
      </c>
      <c r="E75" t="s">
        <v>859</v>
      </c>
      <c r="F75" t="s">
        <v>862</v>
      </c>
      <c r="G75">
        <v>1</v>
      </c>
      <c r="H75" t="s">
        <v>53</v>
      </c>
      <c r="I75" t="s">
        <v>857</v>
      </c>
      <c r="J75" t="s">
        <v>53</v>
      </c>
    </row>
    <row r="76" spans="1:10" x14ac:dyDescent="0.55000000000000004">
      <c r="A76" t="s">
        <v>861</v>
      </c>
      <c r="B76" t="s">
        <v>861</v>
      </c>
      <c r="C76" t="s">
        <v>855</v>
      </c>
      <c r="D76" t="s">
        <v>860</v>
      </c>
      <c r="E76" t="s">
        <v>859</v>
      </c>
      <c r="F76" t="s">
        <v>858</v>
      </c>
      <c r="G76">
        <v>9.9999999999999995E-7</v>
      </c>
      <c r="H76" t="s">
        <v>53</v>
      </c>
      <c r="I76" t="s">
        <v>857</v>
      </c>
      <c r="J76" t="s">
        <v>53</v>
      </c>
    </row>
    <row r="77" spans="1:10" x14ac:dyDescent="0.55000000000000004">
      <c r="A77" t="s">
        <v>856</v>
      </c>
      <c r="B77" t="s">
        <v>856</v>
      </c>
      <c r="C77" t="s">
        <v>855</v>
      </c>
      <c r="D77" t="s">
        <v>854</v>
      </c>
      <c r="E77" t="s">
        <v>69</v>
      </c>
      <c r="F77" t="s">
        <v>853</v>
      </c>
      <c r="G77">
        <v>1.6387059999999998E-2</v>
      </c>
      <c r="H77" t="s">
        <v>53</v>
      </c>
      <c r="I77" t="s">
        <v>852</v>
      </c>
      <c r="J77" t="s">
        <v>53</v>
      </c>
    </row>
    <row r="78" spans="1:10" x14ac:dyDescent="0.55000000000000004">
      <c r="A78" t="s">
        <v>843</v>
      </c>
      <c r="B78" t="s">
        <v>843</v>
      </c>
      <c r="C78" t="s">
        <v>842</v>
      </c>
      <c r="D78" t="s">
        <v>843</v>
      </c>
      <c r="E78" t="s">
        <v>851</v>
      </c>
      <c r="F78" t="s">
        <v>850</v>
      </c>
      <c r="G78">
        <v>1</v>
      </c>
      <c r="H78" t="s">
        <v>53</v>
      </c>
      <c r="I78" t="s">
        <v>53</v>
      </c>
      <c r="J78" t="s">
        <v>53</v>
      </c>
    </row>
    <row r="79" spans="1:10" x14ac:dyDescent="0.55000000000000004">
      <c r="A79" t="s">
        <v>849</v>
      </c>
      <c r="B79" t="s">
        <v>849</v>
      </c>
      <c r="C79" t="s">
        <v>842</v>
      </c>
      <c r="D79" t="s">
        <v>848</v>
      </c>
      <c r="E79" t="s">
        <v>847</v>
      </c>
      <c r="F79" t="s">
        <v>846</v>
      </c>
      <c r="G79">
        <v>1.7453292400000001E-2</v>
      </c>
      <c r="H79" t="s">
        <v>53</v>
      </c>
      <c r="I79" t="s">
        <v>843</v>
      </c>
      <c r="J79" t="s">
        <v>53</v>
      </c>
    </row>
    <row r="80" spans="1:10" x14ac:dyDescent="0.55000000000000004">
      <c r="A80" t="s">
        <v>844</v>
      </c>
      <c r="B80" t="s">
        <v>844</v>
      </c>
      <c r="C80" t="s">
        <v>842</v>
      </c>
      <c r="E80" t="s">
        <v>845</v>
      </c>
      <c r="F80" t="s">
        <v>844</v>
      </c>
      <c r="G80">
        <v>1.5706999999999999E-2</v>
      </c>
      <c r="H80" t="s">
        <v>53</v>
      </c>
      <c r="I80" t="s">
        <v>843</v>
      </c>
      <c r="J80" t="s">
        <v>53</v>
      </c>
    </row>
    <row r="81" spans="1:10" ht="43.2" x14ac:dyDescent="0.55000000000000004">
      <c r="A81" t="s">
        <v>841</v>
      </c>
      <c r="B81" t="s">
        <v>841</v>
      </c>
      <c r="C81" t="s">
        <v>842</v>
      </c>
      <c r="D81" t="s">
        <v>841</v>
      </c>
      <c r="E81" s="22" t="s">
        <v>840</v>
      </c>
      <c r="F81" t="s">
        <v>839</v>
      </c>
      <c r="G81">
        <v>1</v>
      </c>
      <c r="H81" t="s">
        <v>53</v>
      </c>
      <c r="I81" t="s">
        <v>53</v>
      </c>
      <c r="J81" t="s">
        <v>53</v>
      </c>
    </row>
    <row r="82" spans="1:10" x14ac:dyDescent="0.55000000000000004">
      <c r="A82" t="s">
        <v>838</v>
      </c>
      <c r="B82" t="s">
        <v>838</v>
      </c>
      <c r="C82" t="s">
        <v>832</v>
      </c>
      <c r="D82" t="s">
        <v>838</v>
      </c>
      <c r="E82" t="s">
        <v>838</v>
      </c>
      <c r="F82" t="s">
        <v>837</v>
      </c>
      <c r="G82">
        <v>1000000</v>
      </c>
      <c r="H82" t="s">
        <v>53</v>
      </c>
      <c r="I82" t="s">
        <v>829</v>
      </c>
      <c r="J82" t="s">
        <v>53</v>
      </c>
    </row>
    <row r="83" spans="1:10" x14ac:dyDescent="0.55000000000000004">
      <c r="A83" t="s">
        <v>836</v>
      </c>
      <c r="B83" t="s">
        <v>836</v>
      </c>
      <c r="C83" t="s">
        <v>832</v>
      </c>
      <c r="D83" t="s">
        <v>836</v>
      </c>
      <c r="E83" t="s">
        <v>836</v>
      </c>
      <c r="F83" t="s">
        <v>835</v>
      </c>
      <c r="G83">
        <v>1000</v>
      </c>
      <c r="H83" t="s">
        <v>53</v>
      </c>
      <c r="I83" t="s">
        <v>829</v>
      </c>
      <c r="J83" t="s">
        <v>53</v>
      </c>
    </row>
    <row r="84" spans="1:10" x14ac:dyDescent="0.55000000000000004">
      <c r="A84" t="s">
        <v>829</v>
      </c>
      <c r="B84" t="s">
        <v>829</v>
      </c>
      <c r="C84" t="s">
        <v>832</v>
      </c>
      <c r="D84" t="s">
        <v>829</v>
      </c>
      <c r="E84" t="s">
        <v>834</v>
      </c>
      <c r="F84" t="s">
        <v>833</v>
      </c>
      <c r="G84">
        <v>1</v>
      </c>
      <c r="H84" t="s">
        <v>53</v>
      </c>
      <c r="I84" t="s">
        <v>53</v>
      </c>
      <c r="J84" t="s">
        <v>53</v>
      </c>
    </row>
    <row r="85" spans="1:10" x14ac:dyDescent="0.55000000000000004">
      <c r="A85" t="s">
        <v>831</v>
      </c>
      <c r="B85" t="s">
        <v>831</v>
      </c>
      <c r="C85" t="s">
        <v>832</v>
      </c>
      <c r="D85" t="s">
        <v>831</v>
      </c>
      <c r="E85" t="s">
        <v>831</v>
      </c>
      <c r="F85" t="s">
        <v>830</v>
      </c>
      <c r="G85">
        <v>1E-3</v>
      </c>
      <c r="H85" t="s">
        <v>53</v>
      </c>
      <c r="I85" t="s">
        <v>829</v>
      </c>
      <c r="J85" t="s">
        <v>53</v>
      </c>
    </row>
    <row r="86" spans="1:10" x14ac:dyDescent="0.55000000000000004">
      <c r="A86" t="s">
        <v>827</v>
      </c>
      <c r="B86" t="s">
        <v>827</v>
      </c>
      <c r="C86" t="s">
        <v>828</v>
      </c>
      <c r="D86" t="s">
        <v>827</v>
      </c>
      <c r="E86" t="s">
        <v>827</v>
      </c>
      <c r="F86" t="s">
        <v>826</v>
      </c>
      <c r="G86">
        <v>1</v>
      </c>
      <c r="H86" t="s">
        <v>53</v>
      </c>
      <c r="I86" t="s">
        <v>53</v>
      </c>
      <c r="J86" t="s">
        <v>53</v>
      </c>
    </row>
    <row r="87" spans="1:10" x14ac:dyDescent="0.55000000000000004">
      <c r="A87" t="s">
        <v>811</v>
      </c>
      <c r="B87" t="s">
        <v>811</v>
      </c>
      <c r="C87" t="s">
        <v>814</v>
      </c>
      <c r="D87" t="s">
        <v>811</v>
      </c>
      <c r="E87" t="s">
        <v>825</v>
      </c>
      <c r="F87" t="s">
        <v>824</v>
      </c>
      <c r="G87">
        <v>1</v>
      </c>
      <c r="H87" t="s">
        <v>53</v>
      </c>
      <c r="I87" t="s">
        <v>53</v>
      </c>
      <c r="J87" t="s">
        <v>53</v>
      </c>
    </row>
    <row r="88" spans="1:10" ht="28.8" x14ac:dyDescent="0.55000000000000004">
      <c r="A88" t="s">
        <v>823</v>
      </c>
      <c r="B88" t="s">
        <v>823</v>
      </c>
      <c r="C88" t="s">
        <v>814</v>
      </c>
      <c r="D88" t="s">
        <v>822</v>
      </c>
      <c r="E88" s="22" t="s">
        <v>821</v>
      </c>
      <c r="F88" t="s">
        <v>820</v>
      </c>
      <c r="G88">
        <v>4.1867999999999999</v>
      </c>
      <c r="H88" t="s">
        <v>53</v>
      </c>
      <c r="I88" t="s">
        <v>811</v>
      </c>
      <c r="J88" t="s">
        <v>53</v>
      </c>
    </row>
    <row r="89" spans="1:10" x14ac:dyDescent="0.55000000000000004">
      <c r="A89" t="s">
        <v>819</v>
      </c>
      <c r="B89" t="s">
        <v>819</v>
      </c>
      <c r="C89" t="s">
        <v>814</v>
      </c>
      <c r="D89" t="s">
        <v>818</v>
      </c>
      <c r="E89" t="s">
        <v>817</v>
      </c>
      <c r="F89" t="s">
        <v>816</v>
      </c>
      <c r="G89">
        <v>1055.0559000000001</v>
      </c>
      <c r="H89" t="s">
        <v>53</v>
      </c>
      <c r="I89" t="s">
        <v>811</v>
      </c>
      <c r="J89" t="s">
        <v>53</v>
      </c>
    </row>
    <row r="90" spans="1:10" x14ac:dyDescent="0.55000000000000004">
      <c r="A90" t="s">
        <v>815</v>
      </c>
      <c r="B90" t="s">
        <v>815</v>
      </c>
      <c r="C90" t="s">
        <v>814</v>
      </c>
      <c r="D90" t="s">
        <v>813</v>
      </c>
      <c r="E90" t="s">
        <v>812</v>
      </c>
      <c r="F90" t="s">
        <v>53</v>
      </c>
      <c r="G90">
        <v>1.355818</v>
      </c>
      <c r="H90" t="s">
        <v>53</v>
      </c>
      <c r="I90" t="s">
        <v>811</v>
      </c>
      <c r="J90" t="s">
        <v>53</v>
      </c>
    </row>
    <row r="91" spans="1:10" x14ac:dyDescent="0.55000000000000004">
      <c r="A91" t="s">
        <v>809</v>
      </c>
      <c r="B91" t="s">
        <v>809</v>
      </c>
      <c r="C91" t="s">
        <v>810</v>
      </c>
      <c r="D91" t="s">
        <v>809</v>
      </c>
      <c r="E91" t="s">
        <v>808</v>
      </c>
      <c r="F91" t="s">
        <v>807</v>
      </c>
      <c r="G91">
        <v>41840</v>
      </c>
      <c r="H91" t="s">
        <v>53</v>
      </c>
      <c r="I91" t="s">
        <v>806</v>
      </c>
      <c r="J91">
        <v>0</v>
      </c>
    </row>
    <row r="92" spans="1:10" ht="28.8" x14ac:dyDescent="0.55000000000000004">
      <c r="A92" t="s">
        <v>804</v>
      </c>
      <c r="B92" t="s">
        <v>804</v>
      </c>
      <c r="C92" t="s">
        <v>805</v>
      </c>
      <c r="D92" t="s">
        <v>804</v>
      </c>
      <c r="E92" s="22" t="s">
        <v>803</v>
      </c>
      <c r="F92" t="s">
        <v>802</v>
      </c>
      <c r="G92">
        <v>1</v>
      </c>
      <c r="H92" t="s">
        <v>53</v>
      </c>
      <c r="I92" t="s">
        <v>53</v>
      </c>
      <c r="J92" t="s">
        <v>53</v>
      </c>
    </row>
    <row r="93" spans="1:10" x14ac:dyDescent="0.55000000000000004">
      <c r="A93" t="s">
        <v>800</v>
      </c>
      <c r="B93" t="s">
        <v>800</v>
      </c>
      <c r="C93" t="s">
        <v>801</v>
      </c>
      <c r="D93" t="s">
        <v>800</v>
      </c>
      <c r="E93" t="s">
        <v>799</v>
      </c>
      <c r="F93" t="s">
        <v>798</v>
      </c>
      <c r="G93">
        <v>1</v>
      </c>
      <c r="H93" t="s">
        <v>53</v>
      </c>
      <c r="I93" t="s">
        <v>53</v>
      </c>
      <c r="J93" t="s">
        <v>53</v>
      </c>
    </row>
    <row r="94" spans="1:10" ht="28.8" x14ac:dyDescent="0.55000000000000004">
      <c r="A94" t="s">
        <v>796</v>
      </c>
      <c r="B94" t="s">
        <v>796</v>
      </c>
      <c r="C94" t="s">
        <v>797</v>
      </c>
      <c r="D94" t="s">
        <v>796</v>
      </c>
      <c r="E94" s="22" t="s">
        <v>795</v>
      </c>
      <c r="F94" t="s">
        <v>794</v>
      </c>
      <c r="G94">
        <v>1</v>
      </c>
      <c r="H94" t="s">
        <v>53</v>
      </c>
      <c r="I94" t="s">
        <v>53</v>
      </c>
      <c r="J94" t="s">
        <v>53</v>
      </c>
    </row>
    <row r="95" spans="1:10" ht="28.8" x14ac:dyDescent="0.55000000000000004">
      <c r="A95" t="s">
        <v>792</v>
      </c>
      <c r="B95" t="s">
        <v>792</v>
      </c>
      <c r="C95" t="s">
        <v>793</v>
      </c>
      <c r="D95" t="s">
        <v>792</v>
      </c>
      <c r="E95" s="22" t="s">
        <v>791</v>
      </c>
      <c r="F95" t="s">
        <v>790</v>
      </c>
      <c r="G95">
        <v>1</v>
      </c>
      <c r="H95" t="s">
        <v>53</v>
      </c>
      <c r="I95" t="s">
        <v>53</v>
      </c>
      <c r="J95" t="s">
        <v>53</v>
      </c>
    </row>
    <row r="96" spans="1:10" ht="28.8" x14ac:dyDescent="0.55000000000000004">
      <c r="A96" t="s">
        <v>788</v>
      </c>
      <c r="B96" t="s">
        <v>788</v>
      </c>
      <c r="C96" t="s">
        <v>789</v>
      </c>
      <c r="D96" t="s">
        <v>788</v>
      </c>
      <c r="E96" s="22" t="s">
        <v>787</v>
      </c>
      <c r="F96" t="s">
        <v>786</v>
      </c>
      <c r="G96">
        <v>1</v>
      </c>
      <c r="H96" t="s">
        <v>53</v>
      </c>
      <c r="I96" t="s">
        <v>53</v>
      </c>
      <c r="J96" t="s">
        <v>53</v>
      </c>
    </row>
    <row r="97" spans="1:10" ht="28.8" x14ac:dyDescent="0.55000000000000004">
      <c r="A97" t="s">
        <v>784</v>
      </c>
      <c r="B97" t="s">
        <v>784</v>
      </c>
      <c r="C97" t="s">
        <v>785</v>
      </c>
      <c r="D97" t="s">
        <v>784</v>
      </c>
      <c r="E97" s="22" t="s">
        <v>783</v>
      </c>
      <c r="F97" t="s">
        <v>782</v>
      </c>
      <c r="G97">
        <v>1</v>
      </c>
      <c r="H97" t="s">
        <v>53</v>
      </c>
      <c r="I97" t="s">
        <v>53</v>
      </c>
      <c r="J97" t="s">
        <v>53</v>
      </c>
    </row>
    <row r="98" spans="1:10" x14ac:dyDescent="0.55000000000000004">
      <c r="A98" t="s">
        <v>780</v>
      </c>
      <c r="B98" t="s">
        <v>780</v>
      </c>
      <c r="C98" t="s">
        <v>781</v>
      </c>
      <c r="D98" t="s">
        <v>780</v>
      </c>
      <c r="E98" t="s">
        <v>779</v>
      </c>
      <c r="F98" t="s">
        <v>778</v>
      </c>
      <c r="G98">
        <v>1</v>
      </c>
      <c r="H98" t="s">
        <v>53</v>
      </c>
      <c r="I98" t="s">
        <v>53</v>
      </c>
      <c r="J98" t="s">
        <v>53</v>
      </c>
    </row>
    <row r="99" spans="1:10" x14ac:dyDescent="0.55000000000000004">
      <c r="A99" t="s">
        <v>777</v>
      </c>
      <c r="B99" t="s">
        <v>777</v>
      </c>
      <c r="C99" t="s">
        <v>772</v>
      </c>
      <c r="D99" t="s">
        <v>777</v>
      </c>
      <c r="E99" t="s">
        <v>770</v>
      </c>
      <c r="F99" t="s">
        <v>776</v>
      </c>
      <c r="G99">
        <v>1000000</v>
      </c>
      <c r="H99" t="s">
        <v>53</v>
      </c>
      <c r="I99" t="s">
        <v>768</v>
      </c>
      <c r="J99" t="s">
        <v>53</v>
      </c>
    </row>
    <row r="100" spans="1:10" x14ac:dyDescent="0.55000000000000004">
      <c r="A100" t="s">
        <v>775</v>
      </c>
      <c r="B100" t="s">
        <v>775</v>
      </c>
      <c r="C100" t="s">
        <v>772</v>
      </c>
      <c r="D100" t="s">
        <v>775</v>
      </c>
      <c r="E100" t="s">
        <v>770</v>
      </c>
      <c r="F100" t="s">
        <v>774</v>
      </c>
      <c r="G100">
        <v>1000</v>
      </c>
      <c r="H100" t="s">
        <v>53</v>
      </c>
      <c r="I100" t="s">
        <v>768</v>
      </c>
      <c r="J100" t="s">
        <v>53</v>
      </c>
    </row>
    <row r="101" spans="1:10" x14ac:dyDescent="0.55000000000000004">
      <c r="A101" t="s">
        <v>768</v>
      </c>
      <c r="B101" t="s">
        <v>768</v>
      </c>
      <c r="C101" t="s">
        <v>772</v>
      </c>
      <c r="D101" t="s">
        <v>768</v>
      </c>
      <c r="E101" t="s">
        <v>770</v>
      </c>
      <c r="F101" t="s">
        <v>773</v>
      </c>
      <c r="G101">
        <v>1</v>
      </c>
      <c r="H101" t="s">
        <v>53</v>
      </c>
      <c r="I101" t="s">
        <v>53</v>
      </c>
      <c r="J101" t="s">
        <v>53</v>
      </c>
    </row>
    <row r="102" spans="1:10" x14ac:dyDescent="0.55000000000000004">
      <c r="A102" t="s">
        <v>771</v>
      </c>
      <c r="B102" t="s">
        <v>771</v>
      </c>
      <c r="C102" t="s">
        <v>772</v>
      </c>
      <c r="D102" t="s">
        <v>771</v>
      </c>
      <c r="E102" t="s">
        <v>770</v>
      </c>
      <c r="F102" t="s">
        <v>769</v>
      </c>
      <c r="G102">
        <v>1E-3</v>
      </c>
      <c r="H102" t="s">
        <v>53</v>
      </c>
      <c r="I102" t="s">
        <v>768</v>
      </c>
      <c r="J102" t="s">
        <v>53</v>
      </c>
    </row>
    <row r="103" spans="1:10" ht="28.8" x14ac:dyDescent="0.55000000000000004">
      <c r="A103" t="s">
        <v>767</v>
      </c>
      <c r="B103" t="s">
        <v>767</v>
      </c>
      <c r="C103" t="s">
        <v>762</v>
      </c>
      <c r="D103" t="s">
        <v>767</v>
      </c>
      <c r="E103" s="22" t="s">
        <v>760</v>
      </c>
      <c r="F103" t="s">
        <v>766</v>
      </c>
      <c r="G103">
        <v>1000000</v>
      </c>
      <c r="H103" t="s">
        <v>53</v>
      </c>
      <c r="I103" t="s">
        <v>758</v>
      </c>
      <c r="J103" t="s">
        <v>53</v>
      </c>
    </row>
    <row r="104" spans="1:10" ht="28.8" x14ac:dyDescent="0.55000000000000004">
      <c r="A104" t="s">
        <v>765</v>
      </c>
      <c r="B104" t="s">
        <v>765</v>
      </c>
      <c r="C104" t="s">
        <v>762</v>
      </c>
      <c r="D104" t="s">
        <v>765</v>
      </c>
      <c r="E104" s="22" t="s">
        <v>760</v>
      </c>
      <c r="F104" t="s">
        <v>764</v>
      </c>
      <c r="G104">
        <v>1000</v>
      </c>
      <c r="H104" t="s">
        <v>53</v>
      </c>
      <c r="I104" t="s">
        <v>758</v>
      </c>
      <c r="J104" t="s">
        <v>53</v>
      </c>
    </row>
    <row r="105" spans="1:10" ht="28.8" x14ac:dyDescent="0.55000000000000004">
      <c r="A105" t="s">
        <v>758</v>
      </c>
      <c r="B105" t="s">
        <v>758</v>
      </c>
      <c r="C105" t="s">
        <v>762</v>
      </c>
      <c r="D105" t="s">
        <v>758</v>
      </c>
      <c r="E105" s="22" t="s">
        <v>760</v>
      </c>
      <c r="F105" t="s">
        <v>763</v>
      </c>
      <c r="G105">
        <v>1</v>
      </c>
      <c r="H105" t="s">
        <v>53</v>
      </c>
      <c r="I105" t="s">
        <v>53</v>
      </c>
      <c r="J105" t="s">
        <v>53</v>
      </c>
    </row>
    <row r="106" spans="1:10" ht="28.8" x14ac:dyDescent="0.55000000000000004">
      <c r="A106" t="s">
        <v>761</v>
      </c>
      <c r="B106" t="s">
        <v>761</v>
      </c>
      <c r="C106" t="s">
        <v>762</v>
      </c>
      <c r="D106" t="s">
        <v>761</v>
      </c>
      <c r="E106" s="22" t="s">
        <v>760</v>
      </c>
      <c r="F106" t="s">
        <v>759</v>
      </c>
      <c r="G106">
        <v>1E-3</v>
      </c>
      <c r="H106" t="s">
        <v>53</v>
      </c>
      <c r="I106" t="s">
        <v>758</v>
      </c>
      <c r="J106" t="s">
        <v>53</v>
      </c>
    </row>
    <row r="107" spans="1:10" ht="28.8" x14ac:dyDescent="0.55000000000000004">
      <c r="A107" t="s">
        <v>756</v>
      </c>
      <c r="B107" t="s">
        <v>756</v>
      </c>
      <c r="C107" t="s">
        <v>757</v>
      </c>
      <c r="D107" t="s">
        <v>756</v>
      </c>
      <c r="E107" s="22" t="s">
        <v>755</v>
      </c>
      <c r="F107" t="s">
        <v>754</v>
      </c>
      <c r="G107">
        <v>1</v>
      </c>
      <c r="H107" t="s">
        <v>53</v>
      </c>
      <c r="I107" t="s">
        <v>53</v>
      </c>
      <c r="J107" t="s">
        <v>53</v>
      </c>
    </row>
    <row r="108" spans="1:10" ht="43.2" x14ac:dyDescent="0.55000000000000004">
      <c r="A108" t="s">
        <v>752</v>
      </c>
      <c r="B108" t="s">
        <v>752</v>
      </c>
      <c r="C108" t="s">
        <v>753</v>
      </c>
      <c r="D108" t="s">
        <v>752</v>
      </c>
      <c r="E108" s="22" t="s">
        <v>751</v>
      </c>
      <c r="F108" t="s">
        <v>750</v>
      </c>
      <c r="G108">
        <v>1</v>
      </c>
      <c r="H108" t="s">
        <v>53</v>
      </c>
      <c r="I108" t="s">
        <v>53</v>
      </c>
      <c r="J108" t="s">
        <v>53</v>
      </c>
    </row>
    <row r="109" spans="1:10" ht="28.8" x14ac:dyDescent="0.55000000000000004">
      <c r="A109" t="s">
        <v>749</v>
      </c>
      <c r="B109" t="s">
        <v>749</v>
      </c>
      <c r="C109" t="s">
        <v>748</v>
      </c>
      <c r="D109" t="s">
        <v>747</v>
      </c>
      <c r="E109" s="22" t="s">
        <v>746</v>
      </c>
      <c r="F109" t="s">
        <v>745</v>
      </c>
      <c r="G109">
        <v>1</v>
      </c>
      <c r="H109" t="s">
        <v>53</v>
      </c>
      <c r="I109" t="s">
        <v>53</v>
      </c>
      <c r="J109" t="s">
        <v>53</v>
      </c>
    </row>
    <row r="110" spans="1:10" ht="28.8" x14ac:dyDescent="0.55000000000000004">
      <c r="A110" t="s">
        <v>738</v>
      </c>
      <c r="B110" t="s">
        <v>738</v>
      </c>
      <c r="D110" t="s">
        <v>744</v>
      </c>
      <c r="E110" s="22" t="s">
        <v>740</v>
      </c>
      <c r="F110" t="s">
        <v>743</v>
      </c>
      <c r="G110">
        <v>1</v>
      </c>
      <c r="H110" t="s">
        <v>53</v>
      </c>
      <c r="I110" t="s">
        <v>738</v>
      </c>
      <c r="J110" t="s">
        <v>53</v>
      </c>
    </row>
    <row r="111" spans="1:10" ht="28.8" x14ac:dyDescent="0.55000000000000004">
      <c r="A111" t="s">
        <v>742</v>
      </c>
      <c r="B111" t="s">
        <v>742</v>
      </c>
      <c r="D111" t="s">
        <v>741</v>
      </c>
      <c r="E111" s="22" t="s">
        <v>740</v>
      </c>
      <c r="F111" t="s">
        <v>739</v>
      </c>
      <c r="G111">
        <v>0.01</v>
      </c>
      <c r="H111" t="s">
        <v>53</v>
      </c>
      <c r="I111" t="s">
        <v>738</v>
      </c>
      <c r="J111" t="s">
        <v>53</v>
      </c>
    </row>
    <row r="112" spans="1:10" x14ac:dyDescent="0.55000000000000004">
      <c r="A112" t="s">
        <v>737</v>
      </c>
      <c r="B112" t="s">
        <v>737</v>
      </c>
      <c r="C112" t="s">
        <v>736</v>
      </c>
      <c r="D112" t="s">
        <v>733</v>
      </c>
      <c r="E112" t="s">
        <v>733</v>
      </c>
      <c r="F112" t="s">
        <v>734</v>
      </c>
      <c r="G112">
        <v>1</v>
      </c>
      <c r="H112" t="s">
        <v>733</v>
      </c>
      <c r="I112" t="s">
        <v>53</v>
      </c>
      <c r="J112" t="s">
        <v>53</v>
      </c>
    </row>
    <row r="113" spans="1:10" ht="43.2" x14ac:dyDescent="0.55000000000000004">
      <c r="A113" t="s">
        <v>733</v>
      </c>
      <c r="B113" t="s">
        <v>733</v>
      </c>
      <c r="D113" t="s">
        <v>733</v>
      </c>
      <c r="E113" s="22" t="s">
        <v>735</v>
      </c>
      <c r="F113" t="s">
        <v>734</v>
      </c>
      <c r="G113">
        <v>1</v>
      </c>
      <c r="H113" t="s">
        <v>53</v>
      </c>
      <c r="I113" t="s">
        <v>733</v>
      </c>
      <c r="J113" t="s">
        <v>53</v>
      </c>
    </row>
    <row r="114" spans="1:10" x14ac:dyDescent="0.55000000000000004">
      <c r="A114" t="s">
        <v>731</v>
      </c>
      <c r="B114" t="s">
        <v>731</v>
      </c>
      <c r="C114" t="s">
        <v>732</v>
      </c>
      <c r="D114" t="s">
        <v>731</v>
      </c>
      <c r="E114" t="s">
        <v>730</v>
      </c>
      <c r="F114" t="s">
        <v>729</v>
      </c>
      <c r="G114">
        <v>1</v>
      </c>
      <c r="H114" t="s">
        <v>53</v>
      </c>
      <c r="I114" t="s">
        <v>53</v>
      </c>
      <c r="J114" t="s">
        <v>53</v>
      </c>
    </row>
    <row r="115" spans="1:10" x14ac:dyDescent="0.55000000000000004">
      <c r="A115" t="s">
        <v>727</v>
      </c>
      <c r="B115" t="s">
        <v>727</v>
      </c>
      <c r="C115" t="s">
        <v>728</v>
      </c>
      <c r="D115" t="s">
        <v>727</v>
      </c>
      <c r="E115" t="s">
        <v>726</v>
      </c>
      <c r="F115" t="s">
        <v>725</v>
      </c>
      <c r="G115">
        <v>1</v>
      </c>
      <c r="H115" t="s">
        <v>53</v>
      </c>
      <c r="I115" t="s">
        <v>53</v>
      </c>
      <c r="J115" t="s">
        <v>53</v>
      </c>
    </row>
    <row r="116" spans="1:10" x14ac:dyDescent="0.55000000000000004">
      <c r="A116" t="s">
        <v>703</v>
      </c>
      <c r="B116" t="s">
        <v>703</v>
      </c>
      <c r="C116" t="s">
        <v>707</v>
      </c>
      <c r="D116" t="s">
        <v>703</v>
      </c>
      <c r="E116" t="s">
        <v>718</v>
      </c>
      <c r="F116" t="s">
        <v>724</v>
      </c>
      <c r="G116">
        <v>1</v>
      </c>
      <c r="H116" t="s">
        <v>53</v>
      </c>
      <c r="I116" t="s">
        <v>53</v>
      </c>
      <c r="J116" t="s">
        <v>53</v>
      </c>
    </row>
    <row r="117" spans="1:10" x14ac:dyDescent="0.55000000000000004">
      <c r="A117" t="s">
        <v>723</v>
      </c>
      <c r="B117" t="s">
        <v>723</v>
      </c>
      <c r="C117" t="s">
        <v>707</v>
      </c>
      <c r="D117" t="s">
        <v>723</v>
      </c>
      <c r="E117" t="s">
        <v>718</v>
      </c>
      <c r="F117" t="s">
        <v>722</v>
      </c>
      <c r="G117">
        <v>1000000</v>
      </c>
      <c r="H117" t="s">
        <v>53</v>
      </c>
      <c r="I117" t="s">
        <v>703</v>
      </c>
      <c r="J117" t="s">
        <v>53</v>
      </c>
    </row>
    <row r="118" spans="1:10" x14ac:dyDescent="0.55000000000000004">
      <c r="A118" t="s">
        <v>721</v>
      </c>
      <c r="B118" t="s">
        <v>721</v>
      </c>
      <c r="C118" t="s">
        <v>707</v>
      </c>
      <c r="D118" t="s">
        <v>721</v>
      </c>
      <c r="E118" t="s">
        <v>718</v>
      </c>
      <c r="F118" t="s">
        <v>720</v>
      </c>
      <c r="G118">
        <v>1000</v>
      </c>
      <c r="H118" t="s">
        <v>53</v>
      </c>
      <c r="I118" t="s">
        <v>703</v>
      </c>
      <c r="J118" t="s">
        <v>53</v>
      </c>
    </row>
    <row r="119" spans="1:10" x14ac:dyDescent="0.55000000000000004">
      <c r="A119" t="s">
        <v>719</v>
      </c>
      <c r="B119" t="s">
        <v>719</v>
      </c>
      <c r="C119" t="s">
        <v>707</v>
      </c>
      <c r="D119" t="s">
        <v>719</v>
      </c>
      <c r="E119" t="s">
        <v>718</v>
      </c>
      <c r="F119" t="s">
        <v>717</v>
      </c>
      <c r="G119">
        <v>100</v>
      </c>
      <c r="H119" t="s">
        <v>53</v>
      </c>
      <c r="I119" t="s">
        <v>703</v>
      </c>
      <c r="J119" t="s">
        <v>53</v>
      </c>
    </row>
    <row r="120" spans="1:10" ht="28.8" x14ac:dyDescent="0.55000000000000004">
      <c r="A120" t="s">
        <v>716</v>
      </c>
      <c r="B120" t="s">
        <v>716</v>
      </c>
      <c r="C120" t="s">
        <v>707</v>
      </c>
      <c r="D120" t="s">
        <v>715</v>
      </c>
      <c r="E120" s="22" t="s">
        <v>714</v>
      </c>
      <c r="F120" t="s">
        <v>713</v>
      </c>
      <c r="G120">
        <v>101325</v>
      </c>
      <c r="H120" t="s">
        <v>53</v>
      </c>
      <c r="I120" t="s">
        <v>703</v>
      </c>
      <c r="J120" t="s">
        <v>53</v>
      </c>
    </row>
    <row r="121" spans="1:10" x14ac:dyDescent="0.55000000000000004">
      <c r="A121" t="s">
        <v>711</v>
      </c>
      <c r="B121" t="s">
        <v>711</v>
      </c>
      <c r="C121" t="s">
        <v>707</v>
      </c>
      <c r="D121" t="s">
        <v>711</v>
      </c>
      <c r="E121" t="s">
        <v>712</v>
      </c>
      <c r="F121" t="s">
        <v>711</v>
      </c>
      <c r="G121">
        <v>100000</v>
      </c>
      <c r="H121" t="s">
        <v>53</v>
      </c>
      <c r="I121" t="s">
        <v>703</v>
      </c>
      <c r="J121" t="s">
        <v>53</v>
      </c>
    </row>
    <row r="122" spans="1:10" x14ac:dyDescent="0.55000000000000004">
      <c r="A122" t="s">
        <v>710</v>
      </c>
      <c r="B122" t="s">
        <v>710</v>
      </c>
      <c r="C122" t="s">
        <v>707</v>
      </c>
      <c r="D122" t="s">
        <v>710</v>
      </c>
      <c r="E122" t="s">
        <v>709</v>
      </c>
      <c r="F122" t="s">
        <v>708</v>
      </c>
      <c r="G122">
        <v>100</v>
      </c>
      <c r="H122" t="s">
        <v>53</v>
      </c>
      <c r="I122" t="s">
        <v>703</v>
      </c>
      <c r="J122" t="s">
        <v>53</v>
      </c>
    </row>
    <row r="123" spans="1:10" ht="28.8" x14ac:dyDescent="0.55000000000000004">
      <c r="A123" t="s">
        <v>706</v>
      </c>
      <c r="B123" t="s">
        <v>706</v>
      </c>
      <c r="C123" t="s">
        <v>707</v>
      </c>
      <c r="D123" t="s">
        <v>706</v>
      </c>
      <c r="E123" s="22" t="s">
        <v>705</v>
      </c>
      <c r="F123" t="s">
        <v>704</v>
      </c>
      <c r="G123">
        <v>10000</v>
      </c>
      <c r="H123" t="s">
        <v>53</v>
      </c>
      <c r="I123" t="s">
        <v>703</v>
      </c>
      <c r="J123" t="s">
        <v>53</v>
      </c>
    </row>
    <row r="124" spans="1:10" x14ac:dyDescent="0.55000000000000004">
      <c r="A124" t="s">
        <v>702</v>
      </c>
      <c r="B124" t="s">
        <v>702</v>
      </c>
      <c r="C124" t="s">
        <v>670</v>
      </c>
      <c r="D124" t="s">
        <v>682</v>
      </c>
      <c r="E124" t="s">
        <v>681</v>
      </c>
      <c r="F124" t="s">
        <v>680</v>
      </c>
      <c r="G124">
        <v>1</v>
      </c>
      <c r="H124" t="s">
        <v>666</v>
      </c>
      <c r="I124" t="s">
        <v>53</v>
      </c>
      <c r="J124" t="s">
        <v>53</v>
      </c>
    </row>
    <row r="125" spans="1:10" x14ac:dyDescent="0.55000000000000004">
      <c r="A125" t="s">
        <v>701</v>
      </c>
      <c r="B125" t="s">
        <v>701</v>
      </c>
      <c r="C125" t="s">
        <v>670</v>
      </c>
      <c r="D125" t="s">
        <v>689</v>
      </c>
      <c r="E125" t="s">
        <v>688</v>
      </c>
      <c r="F125" t="s">
        <v>687</v>
      </c>
      <c r="G125">
        <v>1E-3</v>
      </c>
      <c r="H125" t="s">
        <v>690</v>
      </c>
      <c r="I125" t="s">
        <v>666</v>
      </c>
      <c r="J125" t="s">
        <v>53</v>
      </c>
    </row>
    <row r="126" spans="1:10" x14ac:dyDescent="0.55000000000000004">
      <c r="A126" t="s">
        <v>700</v>
      </c>
      <c r="B126" t="s">
        <v>700</v>
      </c>
      <c r="C126" t="s">
        <v>670</v>
      </c>
      <c r="D126" t="s">
        <v>678</v>
      </c>
      <c r="E126" t="s">
        <v>677</v>
      </c>
      <c r="F126" t="s">
        <v>676</v>
      </c>
      <c r="G126">
        <v>9.9999999999999995E-7</v>
      </c>
      <c r="H126" t="s">
        <v>679</v>
      </c>
      <c r="I126" t="s">
        <v>666</v>
      </c>
      <c r="J126" t="s">
        <v>53</v>
      </c>
    </row>
    <row r="127" spans="1:10" x14ac:dyDescent="0.55000000000000004">
      <c r="A127" t="s">
        <v>699</v>
      </c>
      <c r="B127" t="s">
        <v>699</v>
      </c>
      <c r="C127" t="s">
        <v>670</v>
      </c>
      <c r="D127" t="s">
        <v>685</v>
      </c>
      <c r="E127" t="s">
        <v>684</v>
      </c>
      <c r="F127" t="s">
        <v>53</v>
      </c>
      <c r="G127">
        <v>1E-4</v>
      </c>
      <c r="H127" t="s">
        <v>686</v>
      </c>
      <c r="I127" t="s">
        <v>666</v>
      </c>
      <c r="J127" t="s">
        <v>53</v>
      </c>
    </row>
    <row r="128" spans="1:10" x14ac:dyDescent="0.55000000000000004">
      <c r="A128" t="s">
        <v>698</v>
      </c>
      <c r="B128" t="s">
        <v>698</v>
      </c>
      <c r="C128" t="s">
        <v>670</v>
      </c>
      <c r="D128" t="s">
        <v>697</v>
      </c>
      <c r="E128" t="s">
        <v>696</v>
      </c>
      <c r="F128" t="s">
        <v>53</v>
      </c>
      <c r="G128">
        <v>0.1</v>
      </c>
      <c r="H128" t="s">
        <v>53</v>
      </c>
      <c r="I128" t="s">
        <v>666</v>
      </c>
      <c r="J128" t="s">
        <v>53</v>
      </c>
    </row>
    <row r="129" spans="1:10" x14ac:dyDescent="0.55000000000000004">
      <c r="A129" t="s">
        <v>695</v>
      </c>
      <c r="B129" t="s">
        <v>695</v>
      </c>
      <c r="C129" t="s">
        <v>670</v>
      </c>
      <c r="D129" t="s">
        <v>669</v>
      </c>
      <c r="E129" t="s">
        <v>694</v>
      </c>
      <c r="F129" t="s">
        <v>667</v>
      </c>
      <c r="G129">
        <v>703.06960000000004</v>
      </c>
      <c r="H129" t="s">
        <v>671</v>
      </c>
      <c r="I129" t="s">
        <v>666</v>
      </c>
      <c r="J129" t="s">
        <v>53</v>
      </c>
    </row>
    <row r="130" spans="1:10" x14ac:dyDescent="0.55000000000000004">
      <c r="A130" t="s">
        <v>693</v>
      </c>
      <c r="B130" t="s">
        <v>693</v>
      </c>
      <c r="C130" t="s">
        <v>670</v>
      </c>
      <c r="D130" t="s">
        <v>692</v>
      </c>
      <c r="E130" t="s">
        <v>688</v>
      </c>
      <c r="F130" t="s">
        <v>691</v>
      </c>
      <c r="G130">
        <v>10</v>
      </c>
      <c r="H130" t="s">
        <v>53</v>
      </c>
      <c r="I130" t="s">
        <v>666</v>
      </c>
      <c r="J130" t="s">
        <v>53</v>
      </c>
    </row>
    <row r="131" spans="1:10" x14ac:dyDescent="0.55000000000000004">
      <c r="A131" t="s">
        <v>690</v>
      </c>
      <c r="B131" t="s">
        <v>690</v>
      </c>
      <c r="C131" t="s">
        <v>670</v>
      </c>
      <c r="D131" t="s">
        <v>689</v>
      </c>
      <c r="E131" t="s">
        <v>688</v>
      </c>
      <c r="F131" t="s">
        <v>687</v>
      </c>
      <c r="G131">
        <v>1E-3</v>
      </c>
      <c r="H131" t="s">
        <v>53</v>
      </c>
      <c r="I131" t="s">
        <v>666</v>
      </c>
      <c r="J131" t="s">
        <v>53</v>
      </c>
    </row>
    <row r="132" spans="1:10" x14ac:dyDescent="0.55000000000000004">
      <c r="A132" t="s">
        <v>686</v>
      </c>
      <c r="B132" t="s">
        <v>686</v>
      </c>
      <c r="C132" t="s">
        <v>670</v>
      </c>
      <c r="D132" t="s">
        <v>685</v>
      </c>
      <c r="E132" t="s">
        <v>684</v>
      </c>
      <c r="F132" t="s">
        <v>683</v>
      </c>
      <c r="G132">
        <v>1E-4</v>
      </c>
      <c r="H132" t="s">
        <v>53</v>
      </c>
      <c r="I132" t="s">
        <v>666</v>
      </c>
      <c r="J132" t="s">
        <v>53</v>
      </c>
    </row>
    <row r="133" spans="1:10" x14ac:dyDescent="0.55000000000000004">
      <c r="A133" t="s">
        <v>666</v>
      </c>
      <c r="B133" t="s">
        <v>666</v>
      </c>
      <c r="C133" t="s">
        <v>670</v>
      </c>
      <c r="D133" t="s">
        <v>682</v>
      </c>
      <c r="E133" t="s">
        <v>681</v>
      </c>
      <c r="F133" t="s">
        <v>680</v>
      </c>
      <c r="G133">
        <v>1</v>
      </c>
      <c r="H133" t="s">
        <v>53</v>
      </c>
      <c r="I133" t="s">
        <v>666</v>
      </c>
      <c r="J133" t="s">
        <v>53</v>
      </c>
    </row>
    <row r="134" spans="1:10" x14ac:dyDescent="0.55000000000000004">
      <c r="A134" t="s">
        <v>679</v>
      </c>
      <c r="B134" t="s">
        <v>679</v>
      </c>
      <c r="C134" t="s">
        <v>670</v>
      </c>
      <c r="D134" t="s">
        <v>678</v>
      </c>
      <c r="E134" t="s">
        <v>677</v>
      </c>
      <c r="F134" t="s">
        <v>676</v>
      </c>
      <c r="G134">
        <v>9.9999999999999995E-7</v>
      </c>
      <c r="H134" t="s">
        <v>53</v>
      </c>
      <c r="I134" t="s">
        <v>666</v>
      </c>
      <c r="J134" t="s">
        <v>53</v>
      </c>
    </row>
    <row r="135" spans="1:10" x14ac:dyDescent="0.55000000000000004">
      <c r="A135" t="s">
        <v>675</v>
      </c>
      <c r="B135" t="s">
        <v>675</v>
      </c>
      <c r="C135" t="s">
        <v>670</v>
      </c>
      <c r="D135" t="s">
        <v>674</v>
      </c>
      <c r="E135" t="s">
        <v>673</v>
      </c>
      <c r="F135" t="s">
        <v>672</v>
      </c>
      <c r="G135">
        <v>1.12084667279431E-4</v>
      </c>
      <c r="H135" t="s">
        <v>53</v>
      </c>
      <c r="I135" t="s">
        <v>666</v>
      </c>
      <c r="J135" t="s">
        <v>53</v>
      </c>
    </row>
    <row r="136" spans="1:10" x14ac:dyDescent="0.55000000000000004">
      <c r="A136" t="s">
        <v>671</v>
      </c>
      <c r="B136" t="s">
        <v>671</v>
      </c>
      <c r="C136" t="s">
        <v>670</v>
      </c>
      <c r="D136" t="s">
        <v>669</v>
      </c>
      <c r="E136" t="s">
        <v>668</v>
      </c>
      <c r="F136" t="s">
        <v>667</v>
      </c>
      <c r="G136">
        <v>703.06960000000004</v>
      </c>
      <c r="H136" t="s">
        <v>53</v>
      </c>
      <c r="I136" t="s">
        <v>666</v>
      </c>
      <c r="J136" t="s">
        <v>53</v>
      </c>
    </row>
    <row r="137" spans="1:10" x14ac:dyDescent="0.55000000000000004">
      <c r="A137" t="s">
        <v>665</v>
      </c>
      <c r="B137" t="s">
        <v>665</v>
      </c>
      <c r="C137" t="s">
        <v>623</v>
      </c>
      <c r="D137" t="s">
        <v>631</v>
      </c>
      <c r="E137" t="s">
        <v>664</v>
      </c>
      <c r="F137" t="s">
        <v>53</v>
      </c>
      <c r="G137">
        <v>1</v>
      </c>
      <c r="H137" t="s">
        <v>620</v>
      </c>
      <c r="I137" t="s">
        <v>53</v>
      </c>
      <c r="J137" t="s">
        <v>53</v>
      </c>
    </row>
    <row r="138" spans="1:10" x14ac:dyDescent="0.55000000000000004">
      <c r="A138" t="s">
        <v>663</v>
      </c>
      <c r="B138" t="s">
        <v>663</v>
      </c>
      <c r="C138" t="s">
        <v>623</v>
      </c>
      <c r="D138" t="s">
        <v>622</v>
      </c>
      <c r="E138" t="s">
        <v>662</v>
      </c>
      <c r="F138" t="s">
        <v>629</v>
      </c>
      <c r="G138">
        <v>1</v>
      </c>
      <c r="H138" t="s">
        <v>624</v>
      </c>
      <c r="I138" t="s">
        <v>620</v>
      </c>
      <c r="J138" t="s">
        <v>53</v>
      </c>
    </row>
    <row r="139" spans="1:10" x14ac:dyDescent="0.55000000000000004">
      <c r="A139" t="s">
        <v>661</v>
      </c>
      <c r="B139" t="s">
        <v>661</v>
      </c>
      <c r="C139" t="s">
        <v>623</v>
      </c>
      <c r="D139" t="s">
        <v>650</v>
      </c>
      <c r="E139" t="s">
        <v>649</v>
      </c>
      <c r="F139" t="s">
        <v>648</v>
      </c>
      <c r="G139">
        <v>1</v>
      </c>
      <c r="H139" t="s">
        <v>651</v>
      </c>
      <c r="I139" t="s">
        <v>620</v>
      </c>
      <c r="J139" t="s">
        <v>53</v>
      </c>
    </row>
    <row r="140" spans="1:10" x14ac:dyDescent="0.55000000000000004">
      <c r="A140" t="s">
        <v>660</v>
      </c>
      <c r="B140" t="s">
        <v>660</v>
      </c>
      <c r="C140" t="s">
        <v>623</v>
      </c>
      <c r="D140" t="s">
        <v>634</v>
      </c>
      <c r="E140" t="s">
        <v>633</v>
      </c>
      <c r="F140" t="s">
        <v>632</v>
      </c>
      <c r="G140">
        <v>9.9999999999999995E-7</v>
      </c>
      <c r="H140" t="s">
        <v>635</v>
      </c>
      <c r="I140" t="s">
        <v>620</v>
      </c>
      <c r="J140" t="s">
        <v>53</v>
      </c>
    </row>
    <row r="141" spans="1:10" x14ac:dyDescent="0.55000000000000004">
      <c r="A141" t="s">
        <v>659</v>
      </c>
      <c r="B141" t="s">
        <v>659</v>
      </c>
      <c r="C141" t="s">
        <v>623</v>
      </c>
      <c r="D141" t="s">
        <v>642</v>
      </c>
      <c r="E141" t="s">
        <v>641</v>
      </c>
      <c r="F141" t="s">
        <v>640</v>
      </c>
      <c r="G141">
        <v>9.9999999999999995E-7</v>
      </c>
      <c r="H141" t="s">
        <v>643</v>
      </c>
      <c r="I141" t="s">
        <v>620</v>
      </c>
      <c r="J141" t="s">
        <v>53</v>
      </c>
    </row>
    <row r="142" spans="1:10" x14ac:dyDescent="0.55000000000000004">
      <c r="A142" t="s">
        <v>658</v>
      </c>
      <c r="B142" t="s">
        <v>658</v>
      </c>
      <c r="C142" t="s">
        <v>623</v>
      </c>
      <c r="D142" t="s">
        <v>638</v>
      </c>
      <c r="E142" t="s">
        <v>637</v>
      </c>
      <c r="F142" t="s">
        <v>636</v>
      </c>
      <c r="G142">
        <v>1E-3</v>
      </c>
      <c r="H142" t="s">
        <v>639</v>
      </c>
      <c r="I142" t="s">
        <v>620</v>
      </c>
      <c r="J142" t="s">
        <v>53</v>
      </c>
    </row>
    <row r="143" spans="1:10" x14ac:dyDescent="0.55000000000000004">
      <c r="A143" t="s">
        <v>657</v>
      </c>
      <c r="B143" t="s">
        <v>657</v>
      </c>
      <c r="C143" t="s">
        <v>623</v>
      </c>
      <c r="D143" t="s">
        <v>654</v>
      </c>
      <c r="E143" t="s">
        <v>653</v>
      </c>
      <c r="F143" t="s">
        <v>652</v>
      </c>
      <c r="G143">
        <v>1000</v>
      </c>
      <c r="H143" t="s">
        <v>655</v>
      </c>
      <c r="I143" t="s">
        <v>620</v>
      </c>
      <c r="J143" t="s">
        <v>53</v>
      </c>
    </row>
    <row r="144" spans="1:10" x14ac:dyDescent="0.55000000000000004">
      <c r="A144" t="s">
        <v>656</v>
      </c>
      <c r="B144" t="s">
        <v>656</v>
      </c>
      <c r="C144" t="s">
        <v>623</v>
      </c>
      <c r="D144" t="s">
        <v>646</v>
      </c>
      <c r="E144" t="s">
        <v>645</v>
      </c>
      <c r="F144" t="s">
        <v>644</v>
      </c>
      <c r="G144">
        <v>1000</v>
      </c>
      <c r="H144" t="s">
        <v>647</v>
      </c>
      <c r="I144" t="s">
        <v>620</v>
      </c>
      <c r="J144" t="s">
        <v>53</v>
      </c>
    </row>
    <row r="145" spans="1:10" x14ac:dyDescent="0.55000000000000004">
      <c r="A145" t="s">
        <v>655</v>
      </c>
      <c r="B145" t="s">
        <v>655</v>
      </c>
      <c r="C145" t="s">
        <v>623</v>
      </c>
      <c r="D145" t="s">
        <v>654</v>
      </c>
      <c r="E145" t="s">
        <v>653</v>
      </c>
      <c r="F145" t="s">
        <v>652</v>
      </c>
      <c r="G145">
        <v>1000</v>
      </c>
      <c r="H145" t="s">
        <v>53</v>
      </c>
      <c r="I145" t="s">
        <v>620</v>
      </c>
      <c r="J145" t="s">
        <v>53</v>
      </c>
    </row>
    <row r="146" spans="1:10" x14ac:dyDescent="0.55000000000000004">
      <c r="A146" t="s">
        <v>651</v>
      </c>
      <c r="B146" t="s">
        <v>651</v>
      </c>
      <c r="C146" t="s">
        <v>623</v>
      </c>
      <c r="D146" t="s">
        <v>650</v>
      </c>
      <c r="E146" t="s">
        <v>649</v>
      </c>
      <c r="F146" t="s">
        <v>648</v>
      </c>
      <c r="G146">
        <v>1</v>
      </c>
      <c r="H146" t="s">
        <v>53</v>
      </c>
      <c r="I146" t="s">
        <v>620</v>
      </c>
      <c r="J146" t="s">
        <v>53</v>
      </c>
    </row>
    <row r="147" spans="1:10" x14ac:dyDescent="0.55000000000000004">
      <c r="A147" t="s">
        <v>647</v>
      </c>
      <c r="B147" t="s">
        <v>647</v>
      </c>
      <c r="C147" t="s">
        <v>623</v>
      </c>
      <c r="D147" t="s">
        <v>646</v>
      </c>
      <c r="E147" t="s">
        <v>645</v>
      </c>
      <c r="F147" t="s">
        <v>644</v>
      </c>
      <c r="G147">
        <v>1000</v>
      </c>
      <c r="H147" t="s">
        <v>53</v>
      </c>
      <c r="I147" t="s">
        <v>620</v>
      </c>
      <c r="J147" t="s">
        <v>53</v>
      </c>
    </row>
    <row r="148" spans="1:10" x14ac:dyDescent="0.55000000000000004">
      <c r="A148" t="s">
        <v>643</v>
      </c>
      <c r="B148" t="s">
        <v>643</v>
      </c>
      <c r="C148" t="s">
        <v>623</v>
      </c>
      <c r="D148" t="s">
        <v>642</v>
      </c>
      <c r="E148" t="s">
        <v>641</v>
      </c>
      <c r="F148" t="s">
        <v>640</v>
      </c>
      <c r="G148">
        <v>9.9999999999999995E-7</v>
      </c>
      <c r="H148" t="s">
        <v>53</v>
      </c>
      <c r="I148" t="s">
        <v>620</v>
      </c>
      <c r="J148" t="s">
        <v>53</v>
      </c>
    </row>
    <row r="149" spans="1:10" x14ac:dyDescent="0.55000000000000004">
      <c r="A149" t="s">
        <v>639</v>
      </c>
      <c r="B149" t="s">
        <v>639</v>
      </c>
      <c r="C149" t="s">
        <v>623</v>
      </c>
      <c r="D149" t="s">
        <v>638</v>
      </c>
      <c r="E149" t="s">
        <v>637</v>
      </c>
      <c r="F149" t="s">
        <v>636</v>
      </c>
      <c r="G149">
        <v>1E-3</v>
      </c>
      <c r="H149" t="s">
        <v>53</v>
      </c>
      <c r="I149" t="s">
        <v>620</v>
      </c>
      <c r="J149" t="s">
        <v>53</v>
      </c>
    </row>
    <row r="150" spans="1:10" x14ac:dyDescent="0.55000000000000004">
      <c r="A150" t="s">
        <v>635</v>
      </c>
      <c r="B150" t="s">
        <v>635</v>
      </c>
      <c r="C150" t="s">
        <v>623</v>
      </c>
      <c r="D150" t="s">
        <v>634</v>
      </c>
      <c r="E150" t="s">
        <v>633</v>
      </c>
      <c r="F150" t="s">
        <v>632</v>
      </c>
      <c r="G150">
        <v>9.9999999999999995E-7</v>
      </c>
      <c r="H150" t="s">
        <v>53</v>
      </c>
      <c r="I150" t="s">
        <v>620</v>
      </c>
      <c r="J150" t="s">
        <v>53</v>
      </c>
    </row>
    <row r="151" spans="1:10" x14ac:dyDescent="0.55000000000000004">
      <c r="A151" t="s">
        <v>620</v>
      </c>
      <c r="B151" t="s">
        <v>620</v>
      </c>
      <c r="C151" t="s">
        <v>623</v>
      </c>
      <c r="D151" t="s">
        <v>631</v>
      </c>
      <c r="E151" t="s">
        <v>630</v>
      </c>
      <c r="F151" t="s">
        <v>629</v>
      </c>
      <c r="G151">
        <v>1</v>
      </c>
      <c r="H151" t="s">
        <v>53</v>
      </c>
      <c r="I151" t="s">
        <v>620</v>
      </c>
      <c r="J151" t="s">
        <v>53</v>
      </c>
    </row>
    <row r="152" spans="1:10" x14ac:dyDescent="0.55000000000000004">
      <c r="A152" t="s">
        <v>628</v>
      </c>
      <c r="B152" t="s">
        <v>628</v>
      </c>
      <c r="C152" t="s">
        <v>623</v>
      </c>
      <c r="D152" t="s">
        <v>627</v>
      </c>
      <c r="E152" t="s">
        <v>626</v>
      </c>
      <c r="F152" t="s">
        <v>625</v>
      </c>
      <c r="G152">
        <v>1000</v>
      </c>
      <c r="H152" t="s">
        <v>53</v>
      </c>
      <c r="I152" t="s">
        <v>620</v>
      </c>
      <c r="J152" t="s">
        <v>53</v>
      </c>
    </row>
    <row r="153" spans="1:10" x14ac:dyDescent="0.55000000000000004">
      <c r="A153" t="s">
        <v>624</v>
      </c>
      <c r="B153" t="s">
        <v>624</v>
      </c>
      <c r="C153" t="s">
        <v>623</v>
      </c>
      <c r="D153" t="s">
        <v>622</v>
      </c>
      <c r="E153" t="s">
        <v>69</v>
      </c>
      <c r="F153" t="s">
        <v>621</v>
      </c>
      <c r="G153">
        <v>1</v>
      </c>
      <c r="H153" t="s">
        <v>53</v>
      </c>
      <c r="I153" t="s">
        <v>620</v>
      </c>
      <c r="J153" t="s">
        <v>53</v>
      </c>
    </row>
    <row r="154" spans="1:10" x14ac:dyDescent="0.55000000000000004">
      <c r="A154" t="s">
        <v>619</v>
      </c>
      <c r="B154" t="s">
        <v>619</v>
      </c>
      <c r="C154" t="s">
        <v>612</v>
      </c>
      <c r="D154" t="s">
        <v>618</v>
      </c>
      <c r="E154" t="s">
        <v>610</v>
      </c>
      <c r="F154" t="s">
        <v>53</v>
      </c>
      <c r="G154">
        <v>1</v>
      </c>
      <c r="H154" t="s">
        <v>608</v>
      </c>
      <c r="I154" t="s">
        <v>53</v>
      </c>
      <c r="J154" t="s">
        <v>53</v>
      </c>
    </row>
    <row r="155" spans="1:10" x14ac:dyDescent="0.55000000000000004">
      <c r="A155" t="s">
        <v>617</v>
      </c>
      <c r="B155" t="s">
        <v>617</v>
      </c>
      <c r="C155" t="s">
        <v>612</v>
      </c>
      <c r="D155" t="s">
        <v>616</v>
      </c>
      <c r="E155" t="s">
        <v>615</v>
      </c>
      <c r="F155" t="s">
        <v>614</v>
      </c>
      <c r="G155">
        <v>1.5741000000000001E-6</v>
      </c>
      <c r="H155" t="s">
        <v>53</v>
      </c>
      <c r="I155" t="s">
        <v>613</v>
      </c>
      <c r="J155" t="s">
        <v>53</v>
      </c>
    </row>
    <row r="156" spans="1:10" x14ac:dyDescent="0.55000000000000004">
      <c r="A156" t="s">
        <v>608</v>
      </c>
      <c r="B156" t="s">
        <v>608</v>
      </c>
      <c r="C156" t="s">
        <v>612</v>
      </c>
      <c r="D156" t="s">
        <v>611</v>
      </c>
      <c r="E156" t="s">
        <v>610</v>
      </c>
      <c r="F156" t="s">
        <v>609</v>
      </c>
      <c r="G156">
        <v>1</v>
      </c>
      <c r="H156" t="s">
        <v>53</v>
      </c>
      <c r="I156" t="s">
        <v>608</v>
      </c>
      <c r="J156" t="s">
        <v>53</v>
      </c>
    </row>
    <row r="157" spans="1:10" x14ac:dyDescent="0.55000000000000004">
      <c r="A157" t="s">
        <v>607</v>
      </c>
      <c r="B157" t="s">
        <v>607</v>
      </c>
      <c r="C157" t="s">
        <v>596</v>
      </c>
      <c r="D157" t="s">
        <v>600</v>
      </c>
      <c r="E157" t="s">
        <v>599</v>
      </c>
      <c r="F157" t="s">
        <v>598</v>
      </c>
      <c r="G157">
        <v>1</v>
      </c>
      <c r="H157" t="s">
        <v>592</v>
      </c>
      <c r="I157" t="s">
        <v>53</v>
      </c>
      <c r="J157" t="s">
        <v>53</v>
      </c>
    </row>
    <row r="158" spans="1:10" x14ac:dyDescent="0.55000000000000004">
      <c r="A158" t="s">
        <v>606</v>
      </c>
      <c r="B158" t="s">
        <v>606</v>
      </c>
      <c r="C158" t="s">
        <v>596</v>
      </c>
      <c r="D158" t="s">
        <v>595</v>
      </c>
      <c r="E158" t="s">
        <v>594</v>
      </c>
      <c r="F158" t="s">
        <v>593</v>
      </c>
      <c r="G158">
        <v>1000</v>
      </c>
      <c r="H158" t="s">
        <v>597</v>
      </c>
      <c r="I158" t="s">
        <v>592</v>
      </c>
      <c r="J158" t="s">
        <v>53</v>
      </c>
    </row>
    <row r="159" spans="1:10" x14ac:dyDescent="0.55000000000000004">
      <c r="A159" t="s">
        <v>605</v>
      </c>
      <c r="B159" t="s">
        <v>605</v>
      </c>
      <c r="C159" t="s">
        <v>596</v>
      </c>
      <c r="D159" t="s">
        <v>603</v>
      </c>
      <c r="E159" t="s">
        <v>602</v>
      </c>
      <c r="F159" t="s">
        <v>601</v>
      </c>
      <c r="G159">
        <v>28.316873999999999</v>
      </c>
      <c r="H159" t="s">
        <v>604</v>
      </c>
      <c r="I159" t="s">
        <v>592</v>
      </c>
      <c r="J159" t="s">
        <v>53</v>
      </c>
    </row>
    <row r="160" spans="1:10" x14ac:dyDescent="0.55000000000000004">
      <c r="A160" t="s">
        <v>604</v>
      </c>
      <c r="B160" t="s">
        <v>604</v>
      </c>
      <c r="C160" t="s">
        <v>596</v>
      </c>
      <c r="D160" t="s">
        <v>603</v>
      </c>
      <c r="E160" t="s">
        <v>602</v>
      </c>
      <c r="F160" t="s">
        <v>601</v>
      </c>
      <c r="G160">
        <v>28.316873999999999</v>
      </c>
      <c r="H160" t="s">
        <v>53</v>
      </c>
      <c r="I160" t="s">
        <v>592</v>
      </c>
      <c r="J160" t="s">
        <v>53</v>
      </c>
    </row>
    <row r="161" spans="1:10" x14ac:dyDescent="0.55000000000000004">
      <c r="A161" t="s">
        <v>592</v>
      </c>
      <c r="B161" t="s">
        <v>592</v>
      </c>
      <c r="C161" t="s">
        <v>596</v>
      </c>
      <c r="D161" t="s">
        <v>600</v>
      </c>
      <c r="E161" t="s">
        <v>599</v>
      </c>
      <c r="F161" t="s">
        <v>598</v>
      </c>
      <c r="G161">
        <v>1</v>
      </c>
      <c r="H161" t="s">
        <v>53</v>
      </c>
      <c r="I161" t="s">
        <v>592</v>
      </c>
      <c r="J161" t="s">
        <v>53</v>
      </c>
    </row>
    <row r="162" spans="1:10" x14ac:dyDescent="0.55000000000000004">
      <c r="A162" t="s">
        <v>597</v>
      </c>
      <c r="B162" t="s">
        <v>597</v>
      </c>
      <c r="C162" t="s">
        <v>596</v>
      </c>
      <c r="D162" t="s">
        <v>595</v>
      </c>
      <c r="E162" t="s">
        <v>594</v>
      </c>
      <c r="F162" t="s">
        <v>593</v>
      </c>
      <c r="G162">
        <v>1000</v>
      </c>
      <c r="H162" t="s">
        <v>53</v>
      </c>
      <c r="I162" t="s">
        <v>592</v>
      </c>
      <c r="J162" t="s">
        <v>53</v>
      </c>
    </row>
    <row r="163" spans="1:10" x14ac:dyDescent="0.55000000000000004">
      <c r="A163" t="s">
        <v>574</v>
      </c>
      <c r="B163" t="s">
        <v>574</v>
      </c>
      <c r="C163" t="s">
        <v>549</v>
      </c>
      <c r="D163" t="s">
        <v>561</v>
      </c>
      <c r="E163" t="s">
        <v>560</v>
      </c>
      <c r="F163" t="s">
        <v>559</v>
      </c>
      <c r="G163">
        <v>1</v>
      </c>
      <c r="H163" t="s">
        <v>545</v>
      </c>
      <c r="I163" t="s">
        <v>53</v>
      </c>
      <c r="J163" t="s">
        <v>53</v>
      </c>
    </row>
    <row r="164" spans="1:10" x14ac:dyDescent="0.55000000000000004">
      <c r="A164" t="s">
        <v>591</v>
      </c>
      <c r="B164" t="s">
        <v>591</v>
      </c>
      <c r="C164" t="s">
        <v>549</v>
      </c>
      <c r="D164" t="s">
        <v>591</v>
      </c>
      <c r="E164" t="s">
        <v>590</v>
      </c>
      <c r="F164" t="s">
        <v>578</v>
      </c>
      <c r="G164">
        <v>100</v>
      </c>
      <c r="H164" t="s">
        <v>53</v>
      </c>
      <c r="I164" t="s">
        <v>574</v>
      </c>
      <c r="J164" t="s">
        <v>53</v>
      </c>
    </row>
    <row r="165" spans="1:10" x14ac:dyDescent="0.55000000000000004">
      <c r="A165" t="s">
        <v>589</v>
      </c>
      <c r="B165" t="s">
        <v>589</v>
      </c>
      <c r="C165" t="s">
        <v>549</v>
      </c>
      <c r="D165" t="s">
        <v>589</v>
      </c>
      <c r="E165" t="s">
        <v>588</v>
      </c>
      <c r="F165" t="s">
        <v>587</v>
      </c>
      <c r="G165">
        <v>10000</v>
      </c>
      <c r="H165" t="s">
        <v>53</v>
      </c>
      <c r="I165" t="s">
        <v>574</v>
      </c>
      <c r="J165" t="s">
        <v>53</v>
      </c>
    </row>
    <row r="166" spans="1:10" x14ac:dyDescent="0.55000000000000004">
      <c r="A166" t="s">
        <v>586</v>
      </c>
      <c r="B166" t="s">
        <v>586</v>
      </c>
      <c r="C166" t="s">
        <v>549</v>
      </c>
      <c r="D166" t="s">
        <v>564</v>
      </c>
      <c r="E166" t="s">
        <v>585</v>
      </c>
      <c r="F166" t="s">
        <v>53</v>
      </c>
      <c r="G166">
        <v>1000000</v>
      </c>
      <c r="H166" t="s">
        <v>565</v>
      </c>
      <c r="I166" t="s">
        <v>574</v>
      </c>
      <c r="J166" t="s">
        <v>53</v>
      </c>
    </row>
    <row r="167" spans="1:10" x14ac:dyDescent="0.55000000000000004">
      <c r="A167" t="s">
        <v>584</v>
      </c>
      <c r="B167" t="s">
        <v>584</v>
      </c>
      <c r="C167" t="s">
        <v>549</v>
      </c>
      <c r="D167" t="s">
        <v>553</v>
      </c>
      <c r="E167" t="s">
        <v>583</v>
      </c>
      <c r="F167" t="s">
        <v>53</v>
      </c>
      <c r="G167">
        <v>9.9999999999999995E-7</v>
      </c>
      <c r="H167" t="s">
        <v>554</v>
      </c>
      <c r="I167" t="s">
        <v>574</v>
      </c>
      <c r="J167" t="s">
        <v>53</v>
      </c>
    </row>
    <row r="168" spans="1:10" x14ac:dyDescent="0.55000000000000004">
      <c r="A168" t="s">
        <v>582</v>
      </c>
      <c r="B168" t="s">
        <v>582</v>
      </c>
      <c r="C168" t="s">
        <v>549</v>
      </c>
      <c r="D168" t="s">
        <v>572</v>
      </c>
      <c r="E168" t="s">
        <v>581</v>
      </c>
      <c r="F168" t="s">
        <v>53</v>
      </c>
      <c r="G168">
        <v>1E-4</v>
      </c>
      <c r="H168" t="s">
        <v>573</v>
      </c>
      <c r="I168" t="s">
        <v>574</v>
      </c>
      <c r="J168" t="s">
        <v>53</v>
      </c>
    </row>
    <row r="169" spans="1:10" x14ac:dyDescent="0.55000000000000004">
      <c r="A169" t="s">
        <v>580</v>
      </c>
      <c r="B169" t="s">
        <v>580</v>
      </c>
      <c r="C169" t="s">
        <v>549</v>
      </c>
      <c r="D169" t="s">
        <v>580</v>
      </c>
      <c r="E169" t="s">
        <v>579</v>
      </c>
      <c r="F169" t="s">
        <v>578</v>
      </c>
      <c r="G169">
        <v>4046.8564000000001</v>
      </c>
      <c r="H169" t="s">
        <v>53</v>
      </c>
      <c r="I169" t="s">
        <v>574</v>
      </c>
      <c r="J169" t="s">
        <v>53</v>
      </c>
    </row>
    <row r="170" spans="1:10" x14ac:dyDescent="0.55000000000000004">
      <c r="A170" t="s">
        <v>577</v>
      </c>
      <c r="B170" t="s">
        <v>577</v>
      </c>
      <c r="C170" t="s">
        <v>549</v>
      </c>
      <c r="D170" t="s">
        <v>568</v>
      </c>
      <c r="E170" t="s">
        <v>567</v>
      </c>
      <c r="F170" t="s">
        <v>566</v>
      </c>
      <c r="G170">
        <v>9.2902999999999999E-2</v>
      </c>
      <c r="H170" t="s">
        <v>569</v>
      </c>
      <c r="I170" t="s">
        <v>574</v>
      </c>
      <c r="J170" t="s">
        <v>53</v>
      </c>
    </row>
    <row r="171" spans="1:10" x14ac:dyDescent="0.55000000000000004">
      <c r="A171" t="s">
        <v>576</v>
      </c>
      <c r="B171" t="s">
        <v>576</v>
      </c>
      <c r="C171" t="s">
        <v>549</v>
      </c>
      <c r="D171" t="s">
        <v>548</v>
      </c>
      <c r="E171" t="s">
        <v>547</v>
      </c>
      <c r="F171" t="s">
        <v>546</v>
      </c>
      <c r="G171">
        <v>0.83613099999999996</v>
      </c>
      <c r="H171" t="s">
        <v>550</v>
      </c>
      <c r="I171" t="s">
        <v>574</v>
      </c>
      <c r="J171" t="s">
        <v>53</v>
      </c>
    </row>
    <row r="172" spans="1:10" x14ac:dyDescent="0.55000000000000004">
      <c r="A172" t="s">
        <v>575</v>
      </c>
      <c r="B172" t="s">
        <v>575</v>
      </c>
      <c r="C172" t="s">
        <v>549</v>
      </c>
      <c r="D172" t="s">
        <v>557</v>
      </c>
      <c r="E172" t="s">
        <v>556</v>
      </c>
      <c r="F172" t="s">
        <v>555</v>
      </c>
      <c r="G172">
        <v>2589998.4980600001</v>
      </c>
      <c r="H172" t="s">
        <v>558</v>
      </c>
      <c r="I172" t="s">
        <v>574</v>
      </c>
      <c r="J172" t="s">
        <v>53</v>
      </c>
    </row>
    <row r="173" spans="1:10" x14ac:dyDescent="0.55000000000000004">
      <c r="A173" t="s">
        <v>573</v>
      </c>
      <c r="B173" t="s">
        <v>573</v>
      </c>
      <c r="C173" t="s">
        <v>549</v>
      </c>
      <c r="D173" t="s">
        <v>572</v>
      </c>
      <c r="E173" t="s">
        <v>571</v>
      </c>
      <c r="F173" t="s">
        <v>570</v>
      </c>
      <c r="G173">
        <v>1E-4</v>
      </c>
      <c r="H173" t="s">
        <v>53</v>
      </c>
      <c r="I173" t="s">
        <v>545</v>
      </c>
      <c r="J173" t="s">
        <v>53</v>
      </c>
    </row>
    <row r="174" spans="1:10" x14ac:dyDescent="0.55000000000000004">
      <c r="A174" t="s">
        <v>569</v>
      </c>
      <c r="B174" t="s">
        <v>569</v>
      </c>
      <c r="C174" t="s">
        <v>549</v>
      </c>
      <c r="D174" t="s">
        <v>568</v>
      </c>
      <c r="E174" t="s">
        <v>567</v>
      </c>
      <c r="F174" t="s">
        <v>566</v>
      </c>
      <c r="G174">
        <v>9.2902999999999999E-2</v>
      </c>
      <c r="H174" t="s">
        <v>53</v>
      </c>
      <c r="I174" t="s">
        <v>545</v>
      </c>
      <c r="J174" t="s">
        <v>53</v>
      </c>
    </row>
    <row r="175" spans="1:10" x14ac:dyDescent="0.55000000000000004">
      <c r="A175" t="s">
        <v>565</v>
      </c>
      <c r="B175" t="s">
        <v>565</v>
      </c>
      <c r="C175" t="s">
        <v>549</v>
      </c>
      <c r="D175" t="s">
        <v>564</v>
      </c>
      <c r="E175" t="s">
        <v>563</v>
      </c>
      <c r="F175" t="s">
        <v>562</v>
      </c>
      <c r="G175">
        <v>1000000</v>
      </c>
      <c r="H175" t="s">
        <v>53</v>
      </c>
      <c r="I175" t="s">
        <v>545</v>
      </c>
      <c r="J175" t="s">
        <v>53</v>
      </c>
    </row>
    <row r="176" spans="1:10" x14ac:dyDescent="0.55000000000000004">
      <c r="A176" t="s">
        <v>545</v>
      </c>
      <c r="B176" t="s">
        <v>545</v>
      </c>
      <c r="C176" t="s">
        <v>549</v>
      </c>
      <c r="D176" t="s">
        <v>561</v>
      </c>
      <c r="E176" t="s">
        <v>560</v>
      </c>
      <c r="F176" t="s">
        <v>559</v>
      </c>
      <c r="G176">
        <v>1</v>
      </c>
      <c r="H176" t="s">
        <v>53</v>
      </c>
      <c r="I176" t="s">
        <v>545</v>
      </c>
      <c r="J176" t="s">
        <v>53</v>
      </c>
    </row>
    <row r="177" spans="1:10" x14ac:dyDescent="0.55000000000000004">
      <c r="A177" t="s">
        <v>558</v>
      </c>
      <c r="B177" t="s">
        <v>558</v>
      </c>
      <c r="C177" t="s">
        <v>549</v>
      </c>
      <c r="D177" t="s">
        <v>557</v>
      </c>
      <c r="E177" t="s">
        <v>556</v>
      </c>
      <c r="F177" t="s">
        <v>555</v>
      </c>
      <c r="G177">
        <v>2589998.4980600001</v>
      </c>
      <c r="H177" t="s">
        <v>53</v>
      </c>
      <c r="I177" t="s">
        <v>545</v>
      </c>
      <c r="J177" t="s">
        <v>53</v>
      </c>
    </row>
    <row r="178" spans="1:10" x14ac:dyDescent="0.55000000000000004">
      <c r="A178" t="s">
        <v>554</v>
      </c>
      <c r="B178" t="s">
        <v>554</v>
      </c>
      <c r="C178" t="s">
        <v>549</v>
      </c>
      <c r="D178" t="s">
        <v>553</v>
      </c>
      <c r="E178" t="s">
        <v>552</v>
      </c>
      <c r="F178" t="s">
        <v>551</v>
      </c>
      <c r="G178">
        <v>9.9999999999999995E-7</v>
      </c>
      <c r="H178" t="s">
        <v>53</v>
      </c>
      <c r="I178" t="s">
        <v>545</v>
      </c>
      <c r="J178" t="s">
        <v>53</v>
      </c>
    </row>
    <row r="179" spans="1:10" x14ac:dyDescent="0.55000000000000004">
      <c r="A179" t="s">
        <v>550</v>
      </c>
      <c r="B179" t="s">
        <v>550</v>
      </c>
      <c r="C179" t="s">
        <v>549</v>
      </c>
      <c r="D179" t="s">
        <v>548</v>
      </c>
      <c r="E179" t="s">
        <v>547</v>
      </c>
      <c r="F179" t="s">
        <v>546</v>
      </c>
      <c r="G179">
        <v>0.83613099999999996</v>
      </c>
      <c r="H179" t="s">
        <v>53</v>
      </c>
      <c r="I179" t="s">
        <v>545</v>
      </c>
      <c r="J179" t="s">
        <v>53</v>
      </c>
    </row>
    <row r="180" spans="1:10" x14ac:dyDescent="0.55000000000000004">
      <c r="A180" t="s">
        <v>544</v>
      </c>
      <c r="B180" t="s">
        <v>544</v>
      </c>
      <c r="C180" t="s">
        <v>521</v>
      </c>
      <c r="D180" t="s">
        <v>533</v>
      </c>
      <c r="E180" t="s">
        <v>532</v>
      </c>
      <c r="F180" t="s">
        <v>531</v>
      </c>
      <c r="G180">
        <v>1</v>
      </c>
      <c r="H180" t="s">
        <v>530</v>
      </c>
      <c r="I180" t="s">
        <v>53</v>
      </c>
      <c r="J180" t="s">
        <v>53</v>
      </c>
    </row>
    <row r="181" spans="1:10" ht="28.8" x14ac:dyDescent="0.55000000000000004">
      <c r="A181" t="s">
        <v>543</v>
      </c>
      <c r="B181" t="s">
        <v>543</v>
      </c>
      <c r="C181" t="s">
        <v>521</v>
      </c>
      <c r="D181" t="s">
        <v>540</v>
      </c>
      <c r="E181" s="22" t="s">
        <v>539</v>
      </c>
      <c r="F181" t="s">
        <v>53</v>
      </c>
      <c r="G181">
        <v>8.6999999999999994E-3</v>
      </c>
      <c r="H181" t="s">
        <v>541</v>
      </c>
      <c r="I181" t="s">
        <v>530</v>
      </c>
      <c r="J181" t="s">
        <v>53</v>
      </c>
    </row>
    <row r="182" spans="1:10" x14ac:dyDescent="0.55000000000000004">
      <c r="A182" t="s">
        <v>542</v>
      </c>
      <c r="B182" t="s">
        <v>542</v>
      </c>
      <c r="C182" t="s">
        <v>521</v>
      </c>
      <c r="D182" t="s">
        <v>536</v>
      </c>
      <c r="E182" t="s">
        <v>535</v>
      </c>
      <c r="F182" t="s">
        <v>53</v>
      </c>
      <c r="G182">
        <v>1E-4</v>
      </c>
      <c r="H182" t="s">
        <v>537</v>
      </c>
      <c r="I182" t="s">
        <v>530</v>
      </c>
      <c r="J182" t="s">
        <v>53</v>
      </c>
    </row>
    <row r="183" spans="1:10" ht="28.8" x14ac:dyDescent="0.55000000000000004">
      <c r="A183" t="s">
        <v>541</v>
      </c>
      <c r="B183" t="s">
        <v>541</v>
      </c>
      <c r="C183" t="s">
        <v>521</v>
      </c>
      <c r="D183" t="s">
        <v>540</v>
      </c>
      <c r="E183" s="22" t="s">
        <v>539</v>
      </c>
      <c r="F183" t="s">
        <v>538</v>
      </c>
      <c r="G183">
        <v>8.6999999999999994E-3</v>
      </c>
      <c r="H183" t="s">
        <v>53</v>
      </c>
      <c r="I183" t="s">
        <v>530</v>
      </c>
      <c r="J183" t="s">
        <v>53</v>
      </c>
    </row>
    <row r="184" spans="1:10" x14ac:dyDescent="0.55000000000000004">
      <c r="A184" t="s">
        <v>537</v>
      </c>
      <c r="B184" t="s">
        <v>537</v>
      </c>
      <c r="C184" t="s">
        <v>521</v>
      </c>
      <c r="D184" t="s">
        <v>536</v>
      </c>
      <c r="E184" t="s">
        <v>535</v>
      </c>
      <c r="F184" t="s">
        <v>534</v>
      </c>
      <c r="G184">
        <v>1E-4</v>
      </c>
      <c r="H184" t="s">
        <v>53</v>
      </c>
      <c r="I184" t="s">
        <v>530</v>
      </c>
      <c r="J184" t="s">
        <v>53</v>
      </c>
    </row>
    <row r="185" spans="1:10" x14ac:dyDescent="0.55000000000000004">
      <c r="A185" t="s">
        <v>530</v>
      </c>
      <c r="B185" t="s">
        <v>530</v>
      </c>
      <c r="C185" t="s">
        <v>521</v>
      </c>
      <c r="D185" t="s">
        <v>533</v>
      </c>
      <c r="E185" t="s">
        <v>532</v>
      </c>
      <c r="F185" t="s">
        <v>531</v>
      </c>
      <c r="G185">
        <v>1</v>
      </c>
      <c r="H185" t="s">
        <v>53</v>
      </c>
      <c r="I185" t="s">
        <v>530</v>
      </c>
      <c r="J185" t="s">
        <v>53</v>
      </c>
    </row>
    <row r="186" spans="1:10" x14ac:dyDescent="0.55000000000000004">
      <c r="A186" t="s">
        <v>529</v>
      </c>
      <c r="B186" t="s">
        <v>529</v>
      </c>
      <c r="C186" t="s">
        <v>521</v>
      </c>
      <c r="D186" t="s">
        <v>528</v>
      </c>
      <c r="E186" t="s">
        <v>527</v>
      </c>
      <c r="F186" t="s">
        <v>526</v>
      </c>
      <c r="G186">
        <v>1E-4</v>
      </c>
      <c r="H186" t="s">
        <v>53</v>
      </c>
      <c r="I186" t="s">
        <v>523</v>
      </c>
      <c r="J186" t="s">
        <v>53</v>
      </c>
    </row>
    <row r="187" spans="1:10" x14ac:dyDescent="0.55000000000000004">
      <c r="A187" t="s">
        <v>523</v>
      </c>
      <c r="B187" t="s">
        <v>523</v>
      </c>
      <c r="C187" t="s">
        <v>521</v>
      </c>
      <c r="D187" t="s">
        <v>524</v>
      </c>
      <c r="E187" t="s">
        <v>525</v>
      </c>
      <c r="F187" t="s">
        <v>524</v>
      </c>
      <c r="G187">
        <v>1</v>
      </c>
      <c r="H187" t="s">
        <v>53</v>
      </c>
      <c r="I187" t="s">
        <v>523</v>
      </c>
      <c r="J187" t="s">
        <v>53</v>
      </c>
    </row>
    <row r="188" spans="1:10" x14ac:dyDescent="0.55000000000000004">
      <c r="A188" t="s">
        <v>522</v>
      </c>
      <c r="B188" t="s">
        <v>522</v>
      </c>
      <c r="C188" t="s">
        <v>521</v>
      </c>
      <c r="D188" t="s">
        <v>520</v>
      </c>
      <c r="E188" t="s">
        <v>519</v>
      </c>
      <c r="F188" t="s">
        <v>518</v>
      </c>
      <c r="G188">
        <v>1E-4</v>
      </c>
      <c r="H188" t="s">
        <v>53</v>
      </c>
      <c r="I188" t="s">
        <v>517</v>
      </c>
      <c r="J188" t="s">
        <v>53</v>
      </c>
    </row>
    <row r="189" spans="1:10" x14ac:dyDescent="0.55000000000000004">
      <c r="A189" t="s">
        <v>516</v>
      </c>
      <c r="B189" t="s">
        <v>516</v>
      </c>
      <c r="C189" t="s">
        <v>515</v>
      </c>
      <c r="D189" t="s">
        <v>514</v>
      </c>
      <c r="E189" t="s">
        <v>513</v>
      </c>
      <c r="F189" t="s">
        <v>512</v>
      </c>
      <c r="G189">
        <v>1</v>
      </c>
      <c r="H189" t="s">
        <v>511</v>
      </c>
      <c r="I189" t="s">
        <v>53</v>
      </c>
      <c r="J189" t="s">
        <v>53</v>
      </c>
    </row>
    <row r="190" spans="1:10" x14ac:dyDescent="0.55000000000000004">
      <c r="A190" t="s">
        <v>511</v>
      </c>
      <c r="B190" t="s">
        <v>511</v>
      </c>
      <c r="C190" t="s">
        <v>515</v>
      </c>
      <c r="D190" t="s">
        <v>514</v>
      </c>
      <c r="E190" t="s">
        <v>513</v>
      </c>
      <c r="F190" t="s">
        <v>512</v>
      </c>
      <c r="G190">
        <v>1</v>
      </c>
      <c r="H190" t="s">
        <v>53</v>
      </c>
      <c r="I190" t="s">
        <v>511</v>
      </c>
      <c r="J190" t="s">
        <v>53</v>
      </c>
    </row>
    <row r="191" spans="1:10" x14ac:dyDescent="0.55000000000000004">
      <c r="A191" t="s">
        <v>510</v>
      </c>
      <c r="B191" t="s">
        <v>510</v>
      </c>
      <c r="C191" t="s">
        <v>439</v>
      </c>
      <c r="D191" t="s">
        <v>463</v>
      </c>
      <c r="E191" t="s">
        <v>462</v>
      </c>
      <c r="F191" t="s">
        <v>461</v>
      </c>
      <c r="G191">
        <v>1</v>
      </c>
      <c r="H191" t="s">
        <v>435</v>
      </c>
      <c r="I191" t="s">
        <v>435</v>
      </c>
      <c r="J191" t="s">
        <v>53</v>
      </c>
    </row>
    <row r="192" spans="1:10" x14ac:dyDescent="0.55000000000000004">
      <c r="A192" t="s">
        <v>509</v>
      </c>
      <c r="B192" t="s">
        <v>509</v>
      </c>
      <c r="C192" t="s">
        <v>439</v>
      </c>
      <c r="D192" t="s">
        <v>466</v>
      </c>
      <c r="E192" t="s">
        <v>465</v>
      </c>
      <c r="F192" t="s">
        <v>464</v>
      </c>
      <c r="G192">
        <v>1.15741E-5</v>
      </c>
      <c r="H192" t="s">
        <v>467</v>
      </c>
      <c r="I192" t="s">
        <v>53</v>
      </c>
      <c r="J192" t="s">
        <v>53</v>
      </c>
    </row>
    <row r="193" spans="1:10" x14ac:dyDescent="0.55000000000000004">
      <c r="A193" t="s">
        <v>508</v>
      </c>
      <c r="B193" t="s">
        <v>508</v>
      </c>
      <c r="C193" t="s">
        <v>439</v>
      </c>
      <c r="D193" t="s">
        <v>488</v>
      </c>
      <c r="E193" t="s">
        <v>487</v>
      </c>
      <c r="F193" t="s">
        <v>486</v>
      </c>
      <c r="G193">
        <v>3.5277799999999998E-6</v>
      </c>
      <c r="H193" t="s">
        <v>489</v>
      </c>
      <c r="I193" t="s">
        <v>435</v>
      </c>
      <c r="J193" t="s">
        <v>53</v>
      </c>
    </row>
    <row r="194" spans="1:10" x14ac:dyDescent="0.55000000000000004">
      <c r="A194" t="s">
        <v>507</v>
      </c>
      <c r="B194" t="s">
        <v>507</v>
      </c>
      <c r="C194" t="s">
        <v>439</v>
      </c>
      <c r="D194" t="s">
        <v>480</v>
      </c>
      <c r="E194" t="s">
        <v>479</v>
      </c>
      <c r="F194" t="s">
        <v>478</v>
      </c>
      <c r="G194">
        <v>0.30480000000000002</v>
      </c>
      <c r="H194" t="s">
        <v>481</v>
      </c>
      <c r="I194" t="s">
        <v>435</v>
      </c>
      <c r="J194" t="s">
        <v>53</v>
      </c>
    </row>
    <row r="195" spans="1:10" x14ac:dyDescent="0.55000000000000004">
      <c r="A195" t="s">
        <v>506</v>
      </c>
      <c r="B195" t="s">
        <v>506</v>
      </c>
      <c r="C195" t="s">
        <v>439</v>
      </c>
      <c r="D195" t="s">
        <v>484</v>
      </c>
      <c r="E195" t="s">
        <v>483</v>
      </c>
      <c r="F195" t="s">
        <v>482</v>
      </c>
      <c r="G195">
        <v>8.4666999999999994E-5</v>
      </c>
      <c r="H195" t="s">
        <v>485</v>
      </c>
      <c r="I195" t="s">
        <v>435</v>
      </c>
      <c r="J195" t="s">
        <v>53</v>
      </c>
    </row>
    <row r="196" spans="1:10" x14ac:dyDescent="0.55000000000000004">
      <c r="A196" t="s">
        <v>505</v>
      </c>
      <c r="B196" t="s">
        <v>505</v>
      </c>
      <c r="C196" t="s">
        <v>439</v>
      </c>
      <c r="D196" t="s">
        <v>438</v>
      </c>
      <c r="E196" t="s">
        <v>437</v>
      </c>
      <c r="F196" t="s">
        <v>436</v>
      </c>
      <c r="G196">
        <v>0.91439999999999999</v>
      </c>
      <c r="H196" t="s">
        <v>440</v>
      </c>
      <c r="I196" t="s">
        <v>435</v>
      </c>
      <c r="J196" t="s">
        <v>53</v>
      </c>
    </row>
    <row r="197" spans="1:10" x14ac:dyDescent="0.55000000000000004">
      <c r="A197" t="s">
        <v>504</v>
      </c>
      <c r="B197" t="s">
        <v>504</v>
      </c>
      <c r="C197" t="s">
        <v>439</v>
      </c>
      <c r="D197" t="s">
        <v>459</v>
      </c>
      <c r="E197" t="s">
        <v>458</v>
      </c>
      <c r="F197" t="s">
        <v>457</v>
      </c>
      <c r="G197">
        <v>0.44703999999999999</v>
      </c>
      <c r="H197" t="s">
        <v>460</v>
      </c>
      <c r="I197" t="s">
        <v>435</v>
      </c>
      <c r="J197" t="s">
        <v>53</v>
      </c>
    </row>
    <row r="198" spans="1:10" x14ac:dyDescent="0.55000000000000004">
      <c r="A198" t="s">
        <v>503</v>
      </c>
      <c r="B198" t="s">
        <v>503</v>
      </c>
      <c r="C198" t="s">
        <v>439</v>
      </c>
      <c r="D198" t="s">
        <v>451</v>
      </c>
      <c r="E198" t="s">
        <v>450</v>
      </c>
      <c r="F198" t="s">
        <v>449</v>
      </c>
      <c r="G198">
        <v>1609.3440000000001</v>
      </c>
      <c r="H198" t="s">
        <v>452</v>
      </c>
      <c r="I198" t="s">
        <v>435</v>
      </c>
      <c r="J198" t="s">
        <v>53</v>
      </c>
    </row>
    <row r="199" spans="1:10" x14ac:dyDescent="0.55000000000000004">
      <c r="A199" t="s">
        <v>502</v>
      </c>
      <c r="B199" t="s">
        <v>502</v>
      </c>
      <c r="C199" t="s">
        <v>439</v>
      </c>
      <c r="D199" t="s">
        <v>455</v>
      </c>
      <c r="E199" t="s">
        <v>454</v>
      </c>
      <c r="F199" t="s">
        <v>453</v>
      </c>
      <c r="G199">
        <v>26.822399999999998</v>
      </c>
      <c r="H199" t="s">
        <v>456</v>
      </c>
      <c r="I199" t="s">
        <v>435</v>
      </c>
      <c r="J199" t="s">
        <v>53</v>
      </c>
    </row>
    <row r="200" spans="1:10" x14ac:dyDescent="0.55000000000000004">
      <c r="A200" t="s">
        <v>501</v>
      </c>
      <c r="B200" t="s">
        <v>501</v>
      </c>
      <c r="C200" t="s">
        <v>439</v>
      </c>
      <c r="D200" t="s">
        <v>492</v>
      </c>
      <c r="E200" t="s">
        <v>491</v>
      </c>
      <c r="F200" t="s">
        <v>490</v>
      </c>
      <c r="G200">
        <v>0.01</v>
      </c>
      <c r="H200" t="s">
        <v>493</v>
      </c>
      <c r="I200" t="s">
        <v>435</v>
      </c>
      <c r="J200" t="s">
        <v>53</v>
      </c>
    </row>
    <row r="201" spans="1:10" x14ac:dyDescent="0.55000000000000004">
      <c r="A201" t="s">
        <v>500</v>
      </c>
      <c r="B201" t="s">
        <v>500</v>
      </c>
      <c r="C201" t="s">
        <v>439</v>
      </c>
      <c r="D201" t="s">
        <v>443</v>
      </c>
      <c r="E201" t="s">
        <v>442</v>
      </c>
      <c r="F201" t="s">
        <v>441</v>
      </c>
      <c r="G201">
        <v>1E-3</v>
      </c>
      <c r="H201" t="s">
        <v>444</v>
      </c>
      <c r="I201" t="s">
        <v>435</v>
      </c>
      <c r="J201" t="s">
        <v>53</v>
      </c>
    </row>
    <row r="202" spans="1:10" x14ac:dyDescent="0.55000000000000004">
      <c r="A202" t="s">
        <v>496</v>
      </c>
      <c r="B202" t="s">
        <v>496</v>
      </c>
      <c r="C202" t="s">
        <v>439</v>
      </c>
      <c r="D202" t="s">
        <v>499</v>
      </c>
      <c r="E202" t="s">
        <v>498</v>
      </c>
      <c r="F202" t="s">
        <v>497</v>
      </c>
      <c r="G202">
        <v>3.17098E-10</v>
      </c>
      <c r="H202" t="s">
        <v>496</v>
      </c>
      <c r="I202" t="s">
        <v>435</v>
      </c>
      <c r="J202" t="s">
        <v>53</v>
      </c>
    </row>
    <row r="203" spans="1:10" x14ac:dyDescent="0.55000000000000004">
      <c r="A203" t="s">
        <v>495</v>
      </c>
      <c r="B203" t="s">
        <v>495</v>
      </c>
      <c r="C203" t="s">
        <v>439</v>
      </c>
      <c r="D203" t="s">
        <v>470</v>
      </c>
      <c r="E203" t="s">
        <v>495</v>
      </c>
      <c r="F203" t="s">
        <v>53</v>
      </c>
      <c r="G203">
        <v>0.51444400000000001</v>
      </c>
      <c r="H203" t="s">
        <v>468</v>
      </c>
      <c r="I203" t="s">
        <v>435</v>
      </c>
      <c r="J203" t="s">
        <v>53</v>
      </c>
    </row>
    <row r="204" spans="1:10" x14ac:dyDescent="0.55000000000000004">
      <c r="A204" t="s">
        <v>494</v>
      </c>
      <c r="B204" t="s">
        <v>494</v>
      </c>
      <c r="C204" t="s">
        <v>439</v>
      </c>
      <c r="D204" t="s">
        <v>472</v>
      </c>
      <c r="E204" t="s">
        <v>471</v>
      </c>
      <c r="F204" t="s">
        <v>471</v>
      </c>
      <c r="G204">
        <v>0.27779999999999999</v>
      </c>
      <c r="H204" t="s">
        <v>473</v>
      </c>
      <c r="I204" t="s">
        <v>435</v>
      </c>
      <c r="J204" t="s">
        <v>53</v>
      </c>
    </row>
    <row r="205" spans="1:10" x14ac:dyDescent="0.55000000000000004">
      <c r="A205" t="s">
        <v>493</v>
      </c>
      <c r="B205" t="s">
        <v>493</v>
      </c>
      <c r="C205" t="s">
        <v>439</v>
      </c>
      <c r="D205" t="s">
        <v>492</v>
      </c>
      <c r="E205" t="s">
        <v>491</v>
      </c>
      <c r="F205" t="s">
        <v>490</v>
      </c>
      <c r="G205">
        <v>0.01</v>
      </c>
      <c r="H205" t="s">
        <v>53</v>
      </c>
      <c r="I205" t="s">
        <v>435</v>
      </c>
      <c r="J205" t="s">
        <v>53</v>
      </c>
    </row>
    <row r="206" spans="1:10" x14ac:dyDescent="0.55000000000000004">
      <c r="A206" t="s">
        <v>489</v>
      </c>
      <c r="B206" t="s">
        <v>489</v>
      </c>
      <c r="C206" t="s">
        <v>439</v>
      </c>
      <c r="D206" t="s">
        <v>488</v>
      </c>
      <c r="E206" t="s">
        <v>487</v>
      </c>
      <c r="F206" t="s">
        <v>486</v>
      </c>
      <c r="G206">
        <v>3.5277799999999998E-6</v>
      </c>
      <c r="H206" t="s">
        <v>53</v>
      </c>
      <c r="I206" t="s">
        <v>435</v>
      </c>
      <c r="J206" t="s">
        <v>53</v>
      </c>
    </row>
    <row r="207" spans="1:10" x14ac:dyDescent="0.55000000000000004">
      <c r="A207" t="s">
        <v>485</v>
      </c>
      <c r="B207" t="s">
        <v>485</v>
      </c>
      <c r="C207" t="s">
        <v>439</v>
      </c>
      <c r="D207" t="s">
        <v>484</v>
      </c>
      <c r="E207" t="s">
        <v>483</v>
      </c>
      <c r="F207" t="s">
        <v>482</v>
      </c>
      <c r="G207">
        <v>8.4666999999999994E-5</v>
      </c>
      <c r="H207" t="s">
        <v>53</v>
      </c>
      <c r="I207" t="s">
        <v>435</v>
      </c>
      <c r="J207" t="s">
        <v>53</v>
      </c>
    </row>
    <row r="208" spans="1:10" x14ac:dyDescent="0.55000000000000004">
      <c r="A208" t="s">
        <v>481</v>
      </c>
      <c r="B208" t="s">
        <v>481</v>
      </c>
      <c r="C208" t="s">
        <v>439</v>
      </c>
      <c r="D208" t="s">
        <v>480</v>
      </c>
      <c r="E208" t="s">
        <v>479</v>
      </c>
      <c r="F208" t="s">
        <v>478</v>
      </c>
      <c r="G208">
        <v>0.30480000000000002</v>
      </c>
      <c r="H208" t="s">
        <v>53</v>
      </c>
      <c r="I208" t="s">
        <v>435</v>
      </c>
      <c r="J208" t="s">
        <v>53</v>
      </c>
    </row>
    <row r="209" spans="1:10" x14ac:dyDescent="0.55000000000000004">
      <c r="A209" t="s">
        <v>477</v>
      </c>
      <c r="B209" t="s">
        <v>477</v>
      </c>
      <c r="C209" t="s">
        <v>439</v>
      </c>
      <c r="D209" t="s">
        <v>476</v>
      </c>
      <c r="E209" t="s">
        <v>475</v>
      </c>
      <c r="F209" t="s">
        <v>474</v>
      </c>
      <c r="G209">
        <v>7.0555599999999996E-6</v>
      </c>
      <c r="H209" t="s">
        <v>53</v>
      </c>
      <c r="I209" t="s">
        <v>435</v>
      </c>
      <c r="J209" t="s">
        <v>53</v>
      </c>
    </row>
    <row r="210" spans="1:10" x14ac:dyDescent="0.55000000000000004">
      <c r="A210" t="s">
        <v>473</v>
      </c>
      <c r="B210" t="s">
        <v>473</v>
      </c>
      <c r="C210" t="s">
        <v>439</v>
      </c>
      <c r="D210" t="s">
        <v>472</v>
      </c>
      <c r="E210" t="s">
        <v>471</v>
      </c>
      <c r="F210" t="s">
        <v>471</v>
      </c>
      <c r="G210">
        <v>0.27779999999999999</v>
      </c>
      <c r="H210" t="s">
        <v>53</v>
      </c>
      <c r="I210" t="s">
        <v>435</v>
      </c>
      <c r="J210" t="s">
        <v>53</v>
      </c>
    </row>
    <row r="211" spans="1:10" x14ac:dyDescent="0.55000000000000004">
      <c r="A211" t="s">
        <v>468</v>
      </c>
      <c r="B211" t="s">
        <v>468</v>
      </c>
      <c r="C211" t="s">
        <v>439</v>
      </c>
      <c r="D211" t="s">
        <v>470</v>
      </c>
      <c r="E211" t="s">
        <v>469</v>
      </c>
      <c r="F211" t="s">
        <v>468</v>
      </c>
      <c r="G211">
        <v>0.51444444444444404</v>
      </c>
      <c r="H211" t="s">
        <v>53</v>
      </c>
      <c r="I211" t="s">
        <v>435</v>
      </c>
      <c r="J211" t="s">
        <v>53</v>
      </c>
    </row>
    <row r="212" spans="1:10" x14ac:dyDescent="0.55000000000000004">
      <c r="A212" t="s">
        <v>467</v>
      </c>
      <c r="B212" t="s">
        <v>467</v>
      </c>
      <c r="C212" t="s">
        <v>439</v>
      </c>
      <c r="D212" t="s">
        <v>466</v>
      </c>
      <c r="E212" t="s">
        <v>465</v>
      </c>
      <c r="F212" t="s">
        <v>464</v>
      </c>
      <c r="G212">
        <v>1.15741E-5</v>
      </c>
      <c r="H212" t="s">
        <v>53</v>
      </c>
      <c r="I212" t="s">
        <v>435</v>
      </c>
      <c r="J212" t="s">
        <v>53</v>
      </c>
    </row>
    <row r="213" spans="1:10" x14ac:dyDescent="0.55000000000000004">
      <c r="A213" t="s">
        <v>435</v>
      </c>
      <c r="B213" t="s">
        <v>435</v>
      </c>
      <c r="C213" t="s">
        <v>439</v>
      </c>
      <c r="D213" t="s">
        <v>463</v>
      </c>
      <c r="E213" t="s">
        <v>462</v>
      </c>
      <c r="F213" t="s">
        <v>461</v>
      </c>
      <c r="G213">
        <v>1</v>
      </c>
      <c r="H213" t="s">
        <v>53</v>
      </c>
      <c r="I213" t="s">
        <v>435</v>
      </c>
      <c r="J213" t="s">
        <v>53</v>
      </c>
    </row>
    <row r="214" spans="1:10" x14ac:dyDescent="0.55000000000000004">
      <c r="A214" t="s">
        <v>460</v>
      </c>
      <c r="B214" t="s">
        <v>460</v>
      </c>
      <c r="C214" t="s">
        <v>439</v>
      </c>
      <c r="D214" t="s">
        <v>459</v>
      </c>
      <c r="E214" t="s">
        <v>458</v>
      </c>
      <c r="F214" t="s">
        <v>457</v>
      </c>
      <c r="G214">
        <v>0.44703999999999999</v>
      </c>
      <c r="H214" t="s">
        <v>53</v>
      </c>
      <c r="I214" t="s">
        <v>435</v>
      </c>
      <c r="J214" t="s">
        <v>53</v>
      </c>
    </row>
    <row r="215" spans="1:10" x14ac:dyDescent="0.55000000000000004">
      <c r="A215" t="s">
        <v>456</v>
      </c>
      <c r="B215" t="s">
        <v>456</v>
      </c>
      <c r="C215" t="s">
        <v>439</v>
      </c>
      <c r="D215" t="s">
        <v>455</v>
      </c>
      <c r="E215" t="s">
        <v>454</v>
      </c>
      <c r="F215" t="s">
        <v>453</v>
      </c>
      <c r="G215">
        <v>26.822399999999998</v>
      </c>
      <c r="H215" t="s">
        <v>53</v>
      </c>
      <c r="I215" t="s">
        <v>435</v>
      </c>
      <c r="J215" t="s">
        <v>53</v>
      </c>
    </row>
    <row r="216" spans="1:10" x14ac:dyDescent="0.55000000000000004">
      <c r="A216" t="s">
        <v>452</v>
      </c>
      <c r="B216" t="s">
        <v>452</v>
      </c>
      <c r="C216" t="s">
        <v>439</v>
      </c>
      <c r="D216" t="s">
        <v>451</v>
      </c>
      <c r="E216" t="s">
        <v>450</v>
      </c>
      <c r="F216" t="s">
        <v>449</v>
      </c>
      <c r="G216">
        <v>1609.3440000000001</v>
      </c>
      <c r="H216" t="s">
        <v>53</v>
      </c>
      <c r="I216" t="s">
        <v>435</v>
      </c>
      <c r="J216" t="s">
        <v>53</v>
      </c>
    </row>
    <row r="217" spans="1:10" x14ac:dyDescent="0.55000000000000004">
      <c r="A217" t="s">
        <v>448</v>
      </c>
      <c r="B217" t="s">
        <v>448</v>
      </c>
      <c r="C217" t="s">
        <v>439</v>
      </c>
      <c r="D217" t="s">
        <v>447</v>
      </c>
      <c r="E217" t="s">
        <v>446</v>
      </c>
      <c r="F217" t="s">
        <v>445</v>
      </c>
      <c r="G217">
        <v>1.1574070000000001E-8</v>
      </c>
      <c r="H217" t="s">
        <v>53</v>
      </c>
      <c r="I217" t="s">
        <v>435</v>
      </c>
      <c r="J217" t="s">
        <v>53</v>
      </c>
    </row>
    <row r="218" spans="1:10" x14ac:dyDescent="0.55000000000000004">
      <c r="A218" t="s">
        <v>444</v>
      </c>
      <c r="B218" t="s">
        <v>444</v>
      </c>
      <c r="C218" t="s">
        <v>439</v>
      </c>
      <c r="D218" t="s">
        <v>443</v>
      </c>
      <c r="E218" t="s">
        <v>442</v>
      </c>
      <c r="F218" t="s">
        <v>441</v>
      </c>
      <c r="G218">
        <v>1E-3</v>
      </c>
      <c r="H218" t="s">
        <v>53</v>
      </c>
      <c r="I218" t="s">
        <v>435</v>
      </c>
      <c r="J218" t="s">
        <v>53</v>
      </c>
    </row>
    <row r="219" spans="1:10" x14ac:dyDescent="0.55000000000000004">
      <c r="A219" t="s">
        <v>440</v>
      </c>
      <c r="B219" t="s">
        <v>440</v>
      </c>
      <c r="C219" t="s">
        <v>439</v>
      </c>
      <c r="D219" t="s">
        <v>438</v>
      </c>
      <c r="E219" t="s">
        <v>437</v>
      </c>
      <c r="F219" t="s">
        <v>436</v>
      </c>
      <c r="G219">
        <v>0.91439999999999999</v>
      </c>
      <c r="H219" t="s">
        <v>53</v>
      </c>
      <c r="I219" t="s">
        <v>435</v>
      </c>
      <c r="J219" t="s">
        <v>53</v>
      </c>
    </row>
    <row r="220" spans="1:10" x14ac:dyDescent="0.55000000000000004">
      <c r="A220" t="s">
        <v>434</v>
      </c>
      <c r="B220" t="s">
        <v>434</v>
      </c>
      <c r="C220" t="s">
        <v>432</v>
      </c>
      <c r="D220" t="s">
        <v>431</v>
      </c>
      <c r="E220" t="s">
        <v>433</v>
      </c>
      <c r="F220" t="s">
        <v>430</v>
      </c>
      <c r="G220">
        <v>1</v>
      </c>
      <c r="H220" t="s">
        <v>429</v>
      </c>
      <c r="I220" t="s">
        <v>53</v>
      </c>
      <c r="J220" t="s">
        <v>53</v>
      </c>
    </row>
    <row r="221" spans="1:10" x14ac:dyDescent="0.55000000000000004">
      <c r="A221" t="s">
        <v>429</v>
      </c>
      <c r="B221" t="s">
        <v>429</v>
      </c>
      <c r="C221" t="s">
        <v>432</v>
      </c>
      <c r="D221" t="s">
        <v>431</v>
      </c>
      <c r="E221" t="s">
        <v>69</v>
      </c>
      <c r="F221" t="s">
        <v>430</v>
      </c>
      <c r="G221">
        <v>1</v>
      </c>
      <c r="H221" t="s">
        <v>53</v>
      </c>
      <c r="I221" t="s">
        <v>429</v>
      </c>
      <c r="J221" t="s">
        <v>53</v>
      </c>
    </row>
    <row r="222" spans="1:10" x14ac:dyDescent="0.55000000000000004">
      <c r="A222" t="s">
        <v>428</v>
      </c>
      <c r="B222" t="s">
        <v>428</v>
      </c>
      <c r="C222" t="s">
        <v>423</v>
      </c>
      <c r="D222" t="s">
        <v>422</v>
      </c>
      <c r="E222" t="s">
        <v>427</v>
      </c>
      <c r="F222" t="s">
        <v>53</v>
      </c>
      <c r="G222">
        <v>1</v>
      </c>
      <c r="H222" t="s">
        <v>426</v>
      </c>
      <c r="I222" t="s">
        <v>53</v>
      </c>
      <c r="J222" t="s">
        <v>53</v>
      </c>
    </row>
    <row r="223" spans="1:10" x14ac:dyDescent="0.55000000000000004">
      <c r="A223" t="s">
        <v>426</v>
      </c>
      <c r="B223" t="s">
        <v>426</v>
      </c>
      <c r="C223" t="s">
        <v>423</v>
      </c>
      <c r="D223" t="s">
        <v>422</v>
      </c>
      <c r="E223" t="s">
        <v>425</v>
      </c>
      <c r="F223" t="s">
        <v>53</v>
      </c>
      <c r="G223">
        <v>1</v>
      </c>
      <c r="H223" t="s">
        <v>53</v>
      </c>
      <c r="I223" t="s">
        <v>53</v>
      </c>
      <c r="J223" t="s">
        <v>53</v>
      </c>
    </row>
    <row r="224" spans="1:10" x14ac:dyDescent="0.55000000000000004">
      <c r="A224" t="s">
        <v>424</v>
      </c>
      <c r="B224" t="s">
        <v>424</v>
      </c>
      <c r="C224" t="s">
        <v>423</v>
      </c>
      <c r="D224" t="s">
        <v>422</v>
      </c>
      <c r="E224" t="s">
        <v>421</v>
      </c>
      <c r="F224" t="s">
        <v>53</v>
      </c>
      <c r="G224">
        <v>0.01</v>
      </c>
      <c r="H224" t="s">
        <v>53</v>
      </c>
      <c r="I224" t="s">
        <v>53</v>
      </c>
      <c r="J224" t="s">
        <v>53</v>
      </c>
    </row>
    <row r="225" spans="1:10" x14ac:dyDescent="0.55000000000000004">
      <c r="A225" t="s">
        <v>419</v>
      </c>
      <c r="B225" t="s">
        <v>419</v>
      </c>
      <c r="C225" t="s">
        <v>414</v>
      </c>
      <c r="D225" t="s">
        <v>418</v>
      </c>
      <c r="E225" t="s">
        <v>417</v>
      </c>
      <c r="F225" t="s">
        <v>416</v>
      </c>
      <c r="G225">
        <v>1</v>
      </c>
      <c r="H225" t="s">
        <v>410</v>
      </c>
      <c r="I225" t="s">
        <v>53</v>
      </c>
      <c r="J225" t="s">
        <v>53</v>
      </c>
    </row>
    <row r="226" spans="1:10" x14ac:dyDescent="0.55000000000000004">
      <c r="A226" t="s">
        <v>420</v>
      </c>
      <c r="B226" t="s">
        <v>420</v>
      </c>
      <c r="C226" t="s">
        <v>414</v>
      </c>
      <c r="D226" t="s">
        <v>413</v>
      </c>
      <c r="E226" t="s">
        <v>412</v>
      </c>
      <c r="F226" t="s">
        <v>411</v>
      </c>
      <c r="G226">
        <v>1.0000000000000001E-15</v>
      </c>
      <c r="H226" t="s">
        <v>415</v>
      </c>
      <c r="I226" t="s">
        <v>419</v>
      </c>
      <c r="J226" t="s">
        <v>53</v>
      </c>
    </row>
    <row r="227" spans="1:10" x14ac:dyDescent="0.55000000000000004">
      <c r="A227" t="s">
        <v>410</v>
      </c>
      <c r="B227" t="s">
        <v>410</v>
      </c>
      <c r="C227" t="s">
        <v>414</v>
      </c>
      <c r="D227" t="s">
        <v>418</v>
      </c>
      <c r="E227" t="s">
        <v>417</v>
      </c>
      <c r="F227" t="s">
        <v>416</v>
      </c>
      <c r="G227">
        <v>1</v>
      </c>
      <c r="H227" t="s">
        <v>53</v>
      </c>
      <c r="I227" t="s">
        <v>410</v>
      </c>
      <c r="J227" t="s">
        <v>53</v>
      </c>
    </row>
    <row r="228" spans="1:10" x14ac:dyDescent="0.55000000000000004">
      <c r="A228" t="s">
        <v>415</v>
      </c>
      <c r="B228" t="s">
        <v>415</v>
      </c>
      <c r="C228" t="s">
        <v>414</v>
      </c>
      <c r="D228" t="s">
        <v>413</v>
      </c>
      <c r="E228" t="s">
        <v>412</v>
      </c>
      <c r="F228" t="s">
        <v>411</v>
      </c>
      <c r="G228">
        <v>1.0000000000000001E-15</v>
      </c>
      <c r="H228" t="s">
        <v>53</v>
      </c>
      <c r="I228" t="s">
        <v>410</v>
      </c>
      <c r="J228" t="s">
        <v>53</v>
      </c>
    </row>
    <row r="229" spans="1:10" x14ac:dyDescent="0.55000000000000004">
      <c r="A229" t="s">
        <v>409</v>
      </c>
      <c r="B229" t="s">
        <v>409</v>
      </c>
      <c r="C229" t="s">
        <v>407</v>
      </c>
      <c r="D229" t="s">
        <v>406</v>
      </c>
      <c r="E229" t="s">
        <v>408</v>
      </c>
      <c r="F229" t="s">
        <v>404</v>
      </c>
      <c r="G229">
        <v>1</v>
      </c>
      <c r="H229" t="s">
        <v>403</v>
      </c>
      <c r="I229" t="s">
        <v>53</v>
      </c>
      <c r="J229" t="s">
        <v>53</v>
      </c>
    </row>
    <row r="230" spans="1:10" x14ac:dyDescent="0.55000000000000004">
      <c r="A230" t="s">
        <v>403</v>
      </c>
      <c r="B230" t="s">
        <v>403</v>
      </c>
      <c r="C230" t="s">
        <v>407</v>
      </c>
      <c r="D230" t="s">
        <v>406</v>
      </c>
      <c r="E230" t="s">
        <v>405</v>
      </c>
      <c r="F230" t="s">
        <v>404</v>
      </c>
      <c r="G230">
        <v>1</v>
      </c>
      <c r="H230" t="s">
        <v>53</v>
      </c>
      <c r="I230" t="s">
        <v>403</v>
      </c>
      <c r="J230" t="s">
        <v>53</v>
      </c>
    </row>
    <row r="231" spans="1:10" x14ac:dyDescent="0.55000000000000004">
      <c r="A231" t="s">
        <v>402</v>
      </c>
      <c r="B231" t="s">
        <v>402</v>
      </c>
      <c r="C231" t="s">
        <v>401</v>
      </c>
      <c r="D231" t="s">
        <v>400</v>
      </c>
      <c r="E231" t="s">
        <v>399</v>
      </c>
      <c r="F231" t="s">
        <v>398</v>
      </c>
      <c r="G231">
        <v>1</v>
      </c>
      <c r="H231" t="s">
        <v>53</v>
      </c>
      <c r="I231" t="s">
        <v>53</v>
      </c>
      <c r="J231" t="s">
        <v>53</v>
      </c>
    </row>
    <row r="232" spans="1:10" x14ac:dyDescent="0.55000000000000004">
      <c r="A232" t="s">
        <v>397</v>
      </c>
      <c r="B232" t="s">
        <v>397</v>
      </c>
      <c r="C232" t="s">
        <v>366</v>
      </c>
      <c r="D232" t="s">
        <v>393</v>
      </c>
      <c r="E232" t="s">
        <v>396</v>
      </c>
      <c r="F232" t="s">
        <v>53</v>
      </c>
      <c r="G232">
        <v>1</v>
      </c>
      <c r="H232" t="s">
        <v>363</v>
      </c>
      <c r="I232" t="s">
        <v>53</v>
      </c>
      <c r="J232" t="s">
        <v>53</v>
      </c>
    </row>
    <row r="233" spans="1:10" x14ac:dyDescent="0.55000000000000004">
      <c r="A233" t="s">
        <v>395</v>
      </c>
      <c r="B233" t="s">
        <v>395</v>
      </c>
      <c r="C233" t="s">
        <v>366</v>
      </c>
      <c r="D233" t="s">
        <v>390</v>
      </c>
      <c r="E233" t="s">
        <v>394</v>
      </c>
      <c r="F233" t="s">
        <v>33</v>
      </c>
      <c r="G233">
        <v>1000</v>
      </c>
      <c r="H233" t="s">
        <v>391</v>
      </c>
      <c r="I233" t="s">
        <v>363</v>
      </c>
      <c r="J233" t="s">
        <v>53</v>
      </c>
    </row>
    <row r="234" spans="1:10" x14ac:dyDescent="0.55000000000000004">
      <c r="A234" t="s">
        <v>363</v>
      </c>
      <c r="B234" t="s">
        <v>363</v>
      </c>
      <c r="C234" t="s">
        <v>366</v>
      </c>
      <c r="D234" t="s">
        <v>393</v>
      </c>
      <c r="E234" t="s">
        <v>392</v>
      </c>
      <c r="F234" t="s">
        <v>372</v>
      </c>
      <c r="G234">
        <v>1</v>
      </c>
      <c r="H234" t="s">
        <v>53</v>
      </c>
      <c r="I234" t="s">
        <v>363</v>
      </c>
      <c r="J234" t="s">
        <v>53</v>
      </c>
    </row>
    <row r="235" spans="1:10" x14ac:dyDescent="0.55000000000000004">
      <c r="A235" t="s">
        <v>391</v>
      </c>
      <c r="B235" t="s">
        <v>391</v>
      </c>
      <c r="C235" t="s">
        <v>366</v>
      </c>
      <c r="D235" t="s">
        <v>390</v>
      </c>
      <c r="E235" t="s">
        <v>389</v>
      </c>
      <c r="F235" t="s">
        <v>388</v>
      </c>
      <c r="G235">
        <v>1000</v>
      </c>
      <c r="H235" t="s">
        <v>53</v>
      </c>
      <c r="I235" t="s">
        <v>363</v>
      </c>
      <c r="J235" t="s">
        <v>53</v>
      </c>
    </row>
    <row r="236" spans="1:10" x14ac:dyDescent="0.55000000000000004">
      <c r="A236" t="s">
        <v>387</v>
      </c>
      <c r="B236" t="s">
        <v>387</v>
      </c>
      <c r="C236" t="s">
        <v>366</v>
      </c>
      <c r="D236" t="s">
        <v>386</v>
      </c>
      <c r="E236" t="s">
        <v>385</v>
      </c>
      <c r="F236" t="s">
        <v>384</v>
      </c>
      <c r="G236">
        <v>1</v>
      </c>
      <c r="H236" t="s">
        <v>53</v>
      </c>
      <c r="I236" t="s">
        <v>363</v>
      </c>
      <c r="J236" t="s">
        <v>53</v>
      </c>
    </row>
    <row r="237" spans="1:10" x14ac:dyDescent="0.55000000000000004">
      <c r="A237" t="s">
        <v>383</v>
      </c>
      <c r="B237" t="s">
        <v>383</v>
      </c>
      <c r="C237" t="s">
        <v>366</v>
      </c>
      <c r="D237" t="s">
        <v>382</v>
      </c>
      <c r="E237" t="s">
        <v>381</v>
      </c>
      <c r="F237" t="s">
        <v>380</v>
      </c>
      <c r="G237">
        <v>1E-3</v>
      </c>
      <c r="H237" t="s">
        <v>53</v>
      </c>
      <c r="I237" t="s">
        <v>363</v>
      </c>
      <c r="J237" t="s">
        <v>53</v>
      </c>
    </row>
    <row r="238" spans="1:10" x14ac:dyDescent="0.55000000000000004">
      <c r="A238" t="s">
        <v>379</v>
      </c>
      <c r="B238" t="s">
        <v>379</v>
      </c>
      <c r="C238" t="s">
        <v>366</v>
      </c>
      <c r="D238" t="s">
        <v>378</v>
      </c>
      <c r="E238" t="s">
        <v>377</v>
      </c>
      <c r="F238" t="s">
        <v>376</v>
      </c>
      <c r="G238">
        <v>9.9999999999999995E-7</v>
      </c>
      <c r="H238" t="s">
        <v>53</v>
      </c>
      <c r="I238" t="s">
        <v>363</v>
      </c>
      <c r="J238" t="s">
        <v>53</v>
      </c>
    </row>
    <row r="239" spans="1:10" x14ac:dyDescent="0.55000000000000004">
      <c r="A239" t="s">
        <v>375</v>
      </c>
      <c r="B239" t="s">
        <v>375</v>
      </c>
      <c r="C239" t="s">
        <v>366</v>
      </c>
      <c r="D239" t="s">
        <v>374</v>
      </c>
      <c r="E239" t="s">
        <v>373</v>
      </c>
      <c r="F239" t="s">
        <v>372</v>
      </c>
      <c r="G239">
        <v>1E-3</v>
      </c>
      <c r="H239" t="s">
        <v>53</v>
      </c>
      <c r="I239" t="s">
        <v>363</v>
      </c>
      <c r="J239" t="s">
        <v>53</v>
      </c>
    </row>
    <row r="240" spans="1:10" ht="28.8" x14ac:dyDescent="0.55000000000000004">
      <c r="A240" t="s">
        <v>371</v>
      </c>
      <c r="B240" t="s">
        <v>371</v>
      </c>
      <c r="C240" t="s">
        <v>366</v>
      </c>
      <c r="D240" t="s">
        <v>53</v>
      </c>
      <c r="E240" s="22" t="s">
        <v>365</v>
      </c>
      <c r="F240" t="s">
        <v>370</v>
      </c>
      <c r="G240" t="s">
        <v>53</v>
      </c>
      <c r="H240" t="s">
        <v>53</v>
      </c>
      <c r="I240" t="s">
        <v>363</v>
      </c>
      <c r="J240" t="s">
        <v>53</v>
      </c>
    </row>
    <row r="241" spans="1:10" ht="28.8" x14ac:dyDescent="0.55000000000000004">
      <c r="A241" t="s">
        <v>369</v>
      </c>
      <c r="B241" t="s">
        <v>369</v>
      </c>
      <c r="C241" t="s">
        <v>366</v>
      </c>
      <c r="D241" t="s">
        <v>53</v>
      </c>
      <c r="E241" s="22" t="s">
        <v>365</v>
      </c>
      <c r="F241" t="s">
        <v>368</v>
      </c>
      <c r="G241" t="s">
        <v>53</v>
      </c>
      <c r="H241" t="s">
        <v>53</v>
      </c>
      <c r="I241" t="s">
        <v>363</v>
      </c>
      <c r="J241" t="s">
        <v>53</v>
      </c>
    </row>
    <row r="242" spans="1:10" ht="28.8" x14ac:dyDescent="0.55000000000000004">
      <c r="A242" t="s">
        <v>367</v>
      </c>
      <c r="B242" t="s">
        <v>367</v>
      </c>
      <c r="C242" t="s">
        <v>366</v>
      </c>
      <c r="D242" t="s">
        <v>53</v>
      </c>
      <c r="E242" s="22" t="s">
        <v>365</v>
      </c>
      <c r="F242" t="s">
        <v>364</v>
      </c>
      <c r="G242" t="s">
        <v>53</v>
      </c>
      <c r="H242" t="s">
        <v>53</v>
      </c>
      <c r="I242" t="s">
        <v>363</v>
      </c>
      <c r="J242" t="s">
        <v>53</v>
      </c>
    </row>
    <row r="243" spans="1:10" x14ac:dyDescent="0.55000000000000004">
      <c r="A243" t="s">
        <v>362</v>
      </c>
      <c r="B243" t="s">
        <v>362</v>
      </c>
      <c r="C243" t="s">
        <v>274</v>
      </c>
      <c r="D243" t="s">
        <v>127</v>
      </c>
      <c r="E243" t="s">
        <v>361</v>
      </c>
      <c r="F243" t="s">
        <v>360</v>
      </c>
      <c r="G243">
        <v>1</v>
      </c>
      <c r="H243" t="s">
        <v>115</v>
      </c>
      <c r="I243" t="s">
        <v>53</v>
      </c>
      <c r="J243" t="s">
        <v>53</v>
      </c>
    </row>
    <row r="244" spans="1:10" x14ac:dyDescent="0.55000000000000004">
      <c r="A244" t="s">
        <v>271</v>
      </c>
      <c r="B244" t="s">
        <v>271</v>
      </c>
      <c r="C244" t="s">
        <v>274</v>
      </c>
      <c r="D244" t="s">
        <v>273</v>
      </c>
      <c r="E244" t="s">
        <v>272</v>
      </c>
      <c r="F244" t="s">
        <v>359</v>
      </c>
      <c r="G244">
        <v>1</v>
      </c>
      <c r="H244" t="s">
        <v>53</v>
      </c>
      <c r="I244" t="s">
        <v>115</v>
      </c>
      <c r="J244" t="s">
        <v>53</v>
      </c>
    </row>
    <row r="245" spans="1:10" x14ac:dyDescent="0.55000000000000004">
      <c r="A245" t="s">
        <v>276</v>
      </c>
      <c r="B245" t="s">
        <v>276</v>
      </c>
      <c r="C245" t="s">
        <v>274</v>
      </c>
      <c r="D245" t="s">
        <v>278</v>
      </c>
      <c r="E245" t="s">
        <v>277</v>
      </c>
      <c r="F245" t="s">
        <v>358</v>
      </c>
      <c r="G245">
        <v>1000</v>
      </c>
      <c r="H245" t="s">
        <v>53</v>
      </c>
      <c r="I245" t="s">
        <v>115</v>
      </c>
      <c r="J245" t="s">
        <v>53</v>
      </c>
    </row>
    <row r="246" spans="1:10" x14ac:dyDescent="0.55000000000000004">
      <c r="A246" t="s">
        <v>115</v>
      </c>
      <c r="B246" t="s">
        <v>115</v>
      </c>
      <c r="C246" t="s">
        <v>274</v>
      </c>
      <c r="D246" t="s">
        <v>127</v>
      </c>
      <c r="E246" t="s">
        <v>280</v>
      </c>
      <c r="F246" t="s">
        <v>126</v>
      </c>
      <c r="G246">
        <v>1</v>
      </c>
      <c r="H246" t="s">
        <v>53</v>
      </c>
      <c r="I246" t="s">
        <v>115</v>
      </c>
      <c r="J246" t="s">
        <v>53</v>
      </c>
    </row>
    <row r="247" spans="1:10" x14ac:dyDescent="0.55000000000000004">
      <c r="A247" t="s">
        <v>357</v>
      </c>
      <c r="B247" t="s">
        <v>357</v>
      </c>
      <c r="C247" t="s">
        <v>274</v>
      </c>
      <c r="D247" t="s">
        <v>356</v>
      </c>
      <c r="E247" t="s">
        <v>272</v>
      </c>
      <c r="F247" t="s">
        <v>355</v>
      </c>
      <c r="G247">
        <v>1E-3</v>
      </c>
      <c r="H247" t="s">
        <v>53</v>
      </c>
      <c r="I247" t="s">
        <v>115</v>
      </c>
      <c r="J247" t="s">
        <v>53</v>
      </c>
    </row>
    <row r="248" spans="1:10" x14ac:dyDescent="0.55000000000000004">
      <c r="A248" t="s">
        <v>354</v>
      </c>
      <c r="B248" t="s">
        <v>354</v>
      </c>
      <c r="C248" t="s">
        <v>353</v>
      </c>
      <c r="D248" t="s">
        <v>352</v>
      </c>
      <c r="E248" t="s">
        <v>351</v>
      </c>
      <c r="F248" t="s">
        <v>350</v>
      </c>
      <c r="G248">
        <v>1</v>
      </c>
      <c r="H248" t="s">
        <v>349</v>
      </c>
      <c r="I248" t="s">
        <v>53</v>
      </c>
      <c r="J248" t="s">
        <v>53</v>
      </c>
    </row>
    <row r="249" spans="1:10" x14ac:dyDescent="0.55000000000000004">
      <c r="A249" t="s">
        <v>349</v>
      </c>
      <c r="B249" t="s">
        <v>349</v>
      </c>
      <c r="C249" t="s">
        <v>353</v>
      </c>
      <c r="D249" t="s">
        <v>352</v>
      </c>
      <c r="E249" t="s">
        <v>351</v>
      </c>
      <c r="F249" t="s">
        <v>350</v>
      </c>
      <c r="G249">
        <v>1</v>
      </c>
      <c r="H249" t="s">
        <v>53</v>
      </c>
      <c r="I249" t="s">
        <v>349</v>
      </c>
      <c r="J249" t="s">
        <v>53</v>
      </c>
    </row>
    <row r="250" spans="1:10" ht="43.2" x14ac:dyDescent="0.55000000000000004">
      <c r="A250" t="s">
        <v>342</v>
      </c>
      <c r="B250" t="s">
        <v>342</v>
      </c>
      <c r="C250" t="s">
        <v>333</v>
      </c>
      <c r="D250" t="s">
        <v>332</v>
      </c>
      <c r="E250" s="22" t="s">
        <v>331</v>
      </c>
      <c r="F250" t="s">
        <v>330</v>
      </c>
      <c r="G250">
        <v>1</v>
      </c>
      <c r="H250" t="s">
        <v>329</v>
      </c>
      <c r="I250" t="s">
        <v>53</v>
      </c>
      <c r="J250" t="s">
        <v>53</v>
      </c>
    </row>
    <row r="251" spans="1:10" x14ac:dyDescent="0.55000000000000004">
      <c r="A251" t="s">
        <v>348</v>
      </c>
      <c r="B251" t="s">
        <v>348</v>
      </c>
      <c r="C251" t="s">
        <v>333</v>
      </c>
      <c r="D251" t="s">
        <v>336</v>
      </c>
      <c r="E251" t="s">
        <v>347</v>
      </c>
      <c r="F251" t="s">
        <v>346</v>
      </c>
      <c r="G251">
        <v>1.1574069999999999E-5</v>
      </c>
      <c r="H251" t="s">
        <v>337</v>
      </c>
      <c r="I251" t="s">
        <v>342</v>
      </c>
      <c r="J251" t="s">
        <v>53</v>
      </c>
    </row>
    <row r="252" spans="1:10" x14ac:dyDescent="0.55000000000000004">
      <c r="A252" t="s">
        <v>345</v>
      </c>
      <c r="B252" t="s">
        <v>345</v>
      </c>
      <c r="C252" t="s">
        <v>333</v>
      </c>
      <c r="D252" t="s">
        <v>340</v>
      </c>
      <c r="E252" t="s">
        <v>344</v>
      </c>
      <c r="F252" t="s">
        <v>343</v>
      </c>
      <c r="G252">
        <v>1.075267E-6</v>
      </c>
      <c r="H252" t="s">
        <v>341</v>
      </c>
      <c r="I252" t="s">
        <v>342</v>
      </c>
      <c r="J252" t="s">
        <v>53</v>
      </c>
    </row>
    <row r="253" spans="1:10" x14ac:dyDescent="0.55000000000000004">
      <c r="A253" t="s">
        <v>341</v>
      </c>
      <c r="B253" t="s">
        <v>341</v>
      </c>
      <c r="C253" t="s">
        <v>333</v>
      </c>
      <c r="D253" t="s">
        <v>340</v>
      </c>
      <c r="E253" t="s">
        <v>339</v>
      </c>
      <c r="F253" t="s">
        <v>338</v>
      </c>
      <c r="G253">
        <v>1.075267E-6</v>
      </c>
      <c r="H253" t="s">
        <v>53</v>
      </c>
      <c r="I253" t="s">
        <v>329</v>
      </c>
      <c r="J253" t="s">
        <v>53</v>
      </c>
    </row>
    <row r="254" spans="1:10" x14ac:dyDescent="0.55000000000000004">
      <c r="A254" t="s">
        <v>337</v>
      </c>
      <c r="B254" t="s">
        <v>337</v>
      </c>
      <c r="C254" t="s">
        <v>333</v>
      </c>
      <c r="D254" t="s">
        <v>336</v>
      </c>
      <c r="E254" t="s">
        <v>335</v>
      </c>
      <c r="F254" t="s">
        <v>334</v>
      </c>
      <c r="G254">
        <v>1.1574069999999999E-5</v>
      </c>
      <c r="H254" t="s">
        <v>53</v>
      </c>
      <c r="I254" t="s">
        <v>329</v>
      </c>
      <c r="J254" t="s">
        <v>53</v>
      </c>
    </row>
    <row r="255" spans="1:10" ht="43.2" x14ac:dyDescent="0.55000000000000004">
      <c r="A255" t="s">
        <v>329</v>
      </c>
      <c r="B255" t="s">
        <v>329</v>
      </c>
      <c r="C255" t="s">
        <v>333</v>
      </c>
      <c r="D255" t="s">
        <v>332</v>
      </c>
      <c r="E255" s="22" t="s">
        <v>331</v>
      </c>
      <c r="F255" t="s">
        <v>330</v>
      </c>
      <c r="G255">
        <v>1</v>
      </c>
      <c r="H255" t="s">
        <v>53</v>
      </c>
      <c r="I255" t="s">
        <v>329</v>
      </c>
      <c r="J255" t="s">
        <v>53</v>
      </c>
    </row>
    <row r="256" spans="1:10" x14ac:dyDescent="0.55000000000000004">
      <c r="A256" t="s">
        <v>328</v>
      </c>
      <c r="B256" t="s">
        <v>328</v>
      </c>
      <c r="C256" t="s">
        <v>286</v>
      </c>
      <c r="D256" t="s">
        <v>300</v>
      </c>
      <c r="E256" t="s">
        <v>327</v>
      </c>
      <c r="F256" t="s">
        <v>53</v>
      </c>
      <c r="G256">
        <v>1</v>
      </c>
      <c r="H256" t="s">
        <v>282</v>
      </c>
      <c r="I256" t="s">
        <v>53</v>
      </c>
      <c r="J256" t="s">
        <v>53</v>
      </c>
    </row>
    <row r="257" spans="1:10" x14ac:dyDescent="0.55000000000000004">
      <c r="A257" t="s">
        <v>326</v>
      </c>
      <c r="B257" t="s">
        <v>326</v>
      </c>
      <c r="C257" t="s">
        <v>286</v>
      </c>
      <c r="D257" t="s">
        <v>315</v>
      </c>
      <c r="E257" t="s">
        <v>325</v>
      </c>
      <c r="F257" t="s">
        <v>53</v>
      </c>
      <c r="G257">
        <v>10</v>
      </c>
      <c r="H257" t="s">
        <v>316</v>
      </c>
      <c r="I257" t="s">
        <v>282</v>
      </c>
      <c r="J257" t="s">
        <v>53</v>
      </c>
    </row>
    <row r="258" spans="1:10" x14ac:dyDescent="0.55000000000000004">
      <c r="A258" t="s">
        <v>324</v>
      </c>
      <c r="B258" t="s">
        <v>324</v>
      </c>
      <c r="C258" t="s">
        <v>286</v>
      </c>
      <c r="D258" t="s">
        <v>307</v>
      </c>
      <c r="E258" t="s">
        <v>323</v>
      </c>
      <c r="F258" t="s">
        <v>53</v>
      </c>
      <c r="G258">
        <v>3.17098E-11</v>
      </c>
      <c r="H258" t="s">
        <v>308</v>
      </c>
      <c r="I258" t="s">
        <v>282</v>
      </c>
      <c r="J258" t="s">
        <v>53</v>
      </c>
    </row>
    <row r="259" spans="1:10" x14ac:dyDescent="0.55000000000000004">
      <c r="A259" t="s">
        <v>322</v>
      </c>
      <c r="B259" t="s">
        <v>322</v>
      </c>
      <c r="C259" t="s">
        <v>286</v>
      </c>
      <c r="D259" t="s">
        <v>321</v>
      </c>
      <c r="E259" t="s">
        <v>320</v>
      </c>
      <c r="F259" t="s">
        <v>53</v>
      </c>
      <c r="G259">
        <v>1.1574000000000001E-12</v>
      </c>
      <c r="H259" t="s">
        <v>312</v>
      </c>
      <c r="I259" t="s">
        <v>282</v>
      </c>
      <c r="J259" t="s">
        <v>53</v>
      </c>
    </row>
    <row r="260" spans="1:10" x14ac:dyDescent="0.55000000000000004">
      <c r="A260" t="s">
        <v>319</v>
      </c>
      <c r="B260" t="s">
        <v>319</v>
      </c>
      <c r="C260" t="s">
        <v>286</v>
      </c>
      <c r="D260" t="s">
        <v>303</v>
      </c>
      <c r="E260" t="s">
        <v>302</v>
      </c>
      <c r="F260" t="s">
        <v>53</v>
      </c>
      <c r="G260">
        <v>3.1709790000000001E-12</v>
      </c>
      <c r="H260" t="s">
        <v>304</v>
      </c>
      <c r="I260" t="s">
        <v>282</v>
      </c>
      <c r="J260" t="s">
        <v>53</v>
      </c>
    </row>
    <row r="261" spans="1:10" x14ac:dyDescent="0.55000000000000004">
      <c r="A261" t="s">
        <v>318</v>
      </c>
      <c r="B261" t="s">
        <v>318</v>
      </c>
      <c r="C261" t="s">
        <v>286</v>
      </c>
      <c r="D261" t="s">
        <v>285</v>
      </c>
      <c r="E261" t="s">
        <v>317</v>
      </c>
      <c r="F261" t="s">
        <v>53</v>
      </c>
      <c r="G261">
        <v>3.1709790000000003E-8</v>
      </c>
      <c r="H261" t="s">
        <v>287</v>
      </c>
      <c r="I261" t="s">
        <v>282</v>
      </c>
      <c r="J261" t="s">
        <v>53</v>
      </c>
    </row>
    <row r="262" spans="1:10" x14ac:dyDescent="0.55000000000000004">
      <c r="A262" t="s">
        <v>316</v>
      </c>
      <c r="B262" t="s">
        <v>316</v>
      </c>
      <c r="C262" t="s">
        <v>286</v>
      </c>
      <c r="D262" t="s">
        <v>315</v>
      </c>
      <c r="E262" t="s">
        <v>314</v>
      </c>
      <c r="F262" t="s">
        <v>313</v>
      </c>
      <c r="G262">
        <v>10</v>
      </c>
      <c r="H262" t="s">
        <v>53</v>
      </c>
      <c r="I262" t="s">
        <v>282</v>
      </c>
      <c r="J262" t="s">
        <v>53</v>
      </c>
    </row>
    <row r="263" spans="1:10" x14ac:dyDescent="0.55000000000000004">
      <c r="A263" t="s">
        <v>312</v>
      </c>
      <c r="B263" t="s">
        <v>312</v>
      </c>
      <c r="C263" t="s">
        <v>286</v>
      </c>
      <c r="D263" t="s">
        <v>311</v>
      </c>
      <c r="E263" t="s">
        <v>310</v>
      </c>
      <c r="F263" t="s">
        <v>309</v>
      </c>
      <c r="G263">
        <v>1.1574070000000001E-12</v>
      </c>
      <c r="H263" t="s">
        <v>53</v>
      </c>
      <c r="I263" t="s">
        <v>282</v>
      </c>
      <c r="J263" t="s">
        <v>53</v>
      </c>
    </row>
    <row r="264" spans="1:10" x14ac:dyDescent="0.55000000000000004">
      <c r="A264" t="s">
        <v>308</v>
      </c>
      <c r="B264" t="s">
        <v>308</v>
      </c>
      <c r="C264" t="s">
        <v>286</v>
      </c>
      <c r="D264" t="s">
        <v>307</v>
      </c>
      <c r="E264" t="s">
        <v>306</v>
      </c>
      <c r="F264" t="s">
        <v>305</v>
      </c>
      <c r="G264">
        <v>3.1709790000000001E-11</v>
      </c>
      <c r="H264" t="s">
        <v>53</v>
      </c>
      <c r="I264" t="s">
        <v>282</v>
      </c>
      <c r="J264" t="s">
        <v>53</v>
      </c>
    </row>
    <row r="265" spans="1:10" x14ac:dyDescent="0.55000000000000004">
      <c r="A265" t="s">
        <v>304</v>
      </c>
      <c r="B265" t="s">
        <v>304</v>
      </c>
      <c r="C265" t="s">
        <v>286</v>
      </c>
      <c r="D265" t="s">
        <v>303</v>
      </c>
      <c r="E265" t="s">
        <v>302</v>
      </c>
      <c r="F265" t="s">
        <v>301</v>
      </c>
      <c r="G265">
        <v>3.1709790000000001E-12</v>
      </c>
      <c r="H265" t="s">
        <v>53</v>
      </c>
      <c r="I265" t="s">
        <v>282</v>
      </c>
      <c r="J265" t="s">
        <v>53</v>
      </c>
    </row>
    <row r="266" spans="1:10" x14ac:dyDescent="0.55000000000000004">
      <c r="A266" t="s">
        <v>282</v>
      </c>
      <c r="B266" t="s">
        <v>282</v>
      </c>
      <c r="C266" t="s">
        <v>286</v>
      </c>
      <c r="D266" t="s">
        <v>300</v>
      </c>
      <c r="E266" t="s">
        <v>299</v>
      </c>
      <c r="F266" t="s">
        <v>298</v>
      </c>
      <c r="G266">
        <v>1</v>
      </c>
      <c r="H266" t="s">
        <v>53</v>
      </c>
      <c r="I266" t="s">
        <v>282</v>
      </c>
      <c r="J266" t="s">
        <v>53</v>
      </c>
    </row>
    <row r="267" spans="1:10" x14ac:dyDescent="0.55000000000000004">
      <c r="A267" t="s">
        <v>297</v>
      </c>
      <c r="B267" t="s">
        <v>297</v>
      </c>
      <c r="C267" t="s">
        <v>286</v>
      </c>
      <c r="D267" t="s">
        <v>294</v>
      </c>
      <c r="E267" t="s">
        <v>296</v>
      </c>
      <c r="F267" t="s">
        <v>292</v>
      </c>
      <c r="G267">
        <v>1.5741000000000001E-5</v>
      </c>
      <c r="H267" t="s">
        <v>53</v>
      </c>
      <c r="I267" t="s">
        <v>282</v>
      </c>
      <c r="J267" t="s">
        <v>53</v>
      </c>
    </row>
    <row r="268" spans="1:10" x14ac:dyDescent="0.55000000000000004">
      <c r="A268" t="s">
        <v>295</v>
      </c>
      <c r="B268" t="s">
        <v>295</v>
      </c>
      <c r="C268" t="s">
        <v>286</v>
      </c>
      <c r="D268" t="s">
        <v>294</v>
      </c>
      <c r="E268" t="s">
        <v>293</v>
      </c>
      <c r="F268" t="s">
        <v>292</v>
      </c>
      <c r="G268">
        <v>1.5740999999999998E-8</v>
      </c>
      <c r="H268" t="s">
        <v>53</v>
      </c>
      <c r="I268" t="s">
        <v>282</v>
      </c>
      <c r="J268" t="s">
        <v>53</v>
      </c>
    </row>
    <row r="269" spans="1:10" x14ac:dyDescent="0.55000000000000004">
      <c r="A269" t="s">
        <v>291</v>
      </c>
      <c r="B269" t="s">
        <v>291</v>
      </c>
      <c r="C269" t="s">
        <v>286</v>
      </c>
      <c r="D269" t="s">
        <v>290</v>
      </c>
      <c r="E269" t="s">
        <v>289</v>
      </c>
      <c r="F269" t="s">
        <v>288</v>
      </c>
      <c r="G269">
        <v>1.5741000000000001E-11</v>
      </c>
      <c r="H269" t="s">
        <v>53</v>
      </c>
      <c r="I269" t="s">
        <v>282</v>
      </c>
      <c r="J269" t="s">
        <v>53</v>
      </c>
    </row>
    <row r="270" spans="1:10" x14ac:dyDescent="0.55000000000000004">
      <c r="A270" t="s">
        <v>287</v>
      </c>
      <c r="B270" t="s">
        <v>287</v>
      </c>
      <c r="C270" t="s">
        <v>286</v>
      </c>
      <c r="D270" t="s">
        <v>285</v>
      </c>
      <c r="E270" t="s">
        <v>284</v>
      </c>
      <c r="F270" t="s">
        <v>283</v>
      </c>
      <c r="G270">
        <v>3.1709790000000003E-8</v>
      </c>
      <c r="H270" t="s">
        <v>53</v>
      </c>
      <c r="I270" t="s">
        <v>282</v>
      </c>
      <c r="J270" t="s">
        <v>53</v>
      </c>
    </row>
    <row r="271" spans="1:10" x14ac:dyDescent="0.55000000000000004">
      <c r="A271" t="s">
        <v>281</v>
      </c>
      <c r="B271" t="s">
        <v>281</v>
      </c>
      <c r="C271" t="s">
        <v>274</v>
      </c>
      <c r="D271" t="s">
        <v>127</v>
      </c>
      <c r="E271" t="s">
        <v>280</v>
      </c>
      <c r="F271" t="s">
        <v>53</v>
      </c>
      <c r="G271">
        <v>1</v>
      </c>
      <c r="H271" t="s">
        <v>115</v>
      </c>
      <c r="I271" t="s">
        <v>53</v>
      </c>
      <c r="J271" t="s">
        <v>53</v>
      </c>
    </row>
    <row r="272" spans="1:10" x14ac:dyDescent="0.55000000000000004">
      <c r="A272" t="s">
        <v>279</v>
      </c>
      <c r="B272" t="s">
        <v>279</v>
      </c>
      <c r="C272" t="s">
        <v>274</v>
      </c>
      <c r="D272" t="s">
        <v>278</v>
      </c>
      <c r="E272" t="s">
        <v>277</v>
      </c>
      <c r="F272" t="s">
        <v>53</v>
      </c>
      <c r="G272">
        <v>1000</v>
      </c>
      <c r="H272" t="s">
        <v>276</v>
      </c>
      <c r="I272" t="s">
        <v>115</v>
      </c>
      <c r="J272" t="s">
        <v>53</v>
      </c>
    </row>
    <row r="273" spans="1:10" x14ac:dyDescent="0.55000000000000004">
      <c r="A273" t="s">
        <v>275</v>
      </c>
      <c r="B273" t="s">
        <v>275</v>
      </c>
      <c r="C273" t="s">
        <v>274</v>
      </c>
      <c r="D273" t="s">
        <v>273</v>
      </c>
      <c r="E273" t="s">
        <v>272</v>
      </c>
      <c r="F273" t="s">
        <v>53</v>
      </c>
      <c r="G273">
        <v>1</v>
      </c>
      <c r="H273" t="s">
        <v>271</v>
      </c>
      <c r="I273" t="s">
        <v>115</v>
      </c>
      <c r="J273" t="s">
        <v>53</v>
      </c>
    </row>
    <row r="274" spans="1:10" x14ac:dyDescent="0.55000000000000004">
      <c r="A274" t="s">
        <v>270</v>
      </c>
      <c r="B274" t="s">
        <v>270</v>
      </c>
      <c r="C274" t="s">
        <v>247</v>
      </c>
      <c r="D274" t="s">
        <v>268</v>
      </c>
      <c r="E274" t="s">
        <v>267</v>
      </c>
      <c r="F274" t="s">
        <v>53</v>
      </c>
      <c r="G274">
        <v>1</v>
      </c>
      <c r="H274" t="s">
        <v>243</v>
      </c>
      <c r="I274" t="s">
        <v>53</v>
      </c>
      <c r="J274" t="s">
        <v>53</v>
      </c>
    </row>
    <row r="275" spans="1:10" x14ac:dyDescent="0.55000000000000004">
      <c r="A275" t="s">
        <v>269</v>
      </c>
      <c r="B275" t="s">
        <v>269</v>
      </c>
      <c r="C275" t="s">
        <v>247</v>
      </c>
      <c r="D275" t="s">
        <v>264</v>
      </c>
      <c r="E275" t="s">
        <v>263</v>
      </c>
      <c r="F275" t="s">
        <v>53</v>
      </c>
      <c r="G275">
        <v>9.9999999999999995E-7</v>
      </c>
      <c r="H275" t="s">
        <v>265</v>
      </c>
      <c r="I275" t="s">
        <v>243</v>
      </c>
      <c r="J275" t="s">
        <v>53</v>
      </c>
    </row>
    <row r="276" spans="1:10" x14ac:dyDescent="0.55000000000000004">
      <c r="A276" t="s">
        <v>243</v>
      </c>
      <c r="B276" t="s">
        <v>243</v>
      </c>
      <c r="C276" t="s">
        <v>247</v>
      </c>
      <c r="D276" t="s">
        <v>268</v>
      </c>
      <c r="E276" t="s">
        <v>267</v>
      </c>
      <c r="F276" t="s">
        <v>266</v>
      </c>
      <c r="G276">
        <v>1</v>
      </c>
      <c r="H276" t="s">
        <v>53</v>
      </c>
      <c r="I276" t="s">
        <v>243</v>
      </c>
      <c r="J276" t="s">
        <v>53</v>
      </c>
    </row>
    <row r="277" spans="1:10" x14ac:dyDescent="0.55000000000000004">
      <c r="A277" t="s">
        <v>265</v>
      </c>
      <c r="B277" t="s">
        <v>265</v>
      </c>
      <c r="C277" t="s">
        <v>247</v>
      </c>
      <c r="D277" t="s">
        <v>264</v>
      </c>
      <c r="E277" t="s">
        <v>263</v>
      </c>
      <c r="F277" t="s">
        <v>253</v>
      </c>
      <c r="G277">
        <v>9.9999999999999995E-7</v>
      </c>
      <c r="H277" t="s">
        <v>53</v>
      </c>
      <c r="I277" t="s">
        <v>243</v>
      </c>
      <c r="J277" t="s">
        <v>53</v>
      </c>
    </row>
    <row r="278" spans="1:10" x14ac:dyDescent="0.55000000000000004">
      <c r="A278" t="s">
        <v>262</v>
      </c>
      <c r="B278" t="s">
        <v>262</v>
      </c>
      <c r="C278" t="s">
        <v>247</v>
      </c>
      <c r="D278" t="s">
        <v>261</v>
      </c>
      <c r="E278" t="s">
        <v>260</v>
      </c>
      <c r="F278" t="s">
        <v>249</v>
      </c>
      <c r="G278">
        <v>2.7777799999999998E-10</v>
      </c>
      <c r="H278" t="s">
        <v>53</v>
      </c>
      <c r="I278" t="s">
        <v>243</v>
      </c>
      <c r="J278" t="s">
        <v>53</v>
      </c>
    </row>
    <row r="279" spans="1:10" x14ac:dyDescent="0.55000000000000004">
      <c r="A279" t="s">
        <v>259</v>
      </c>
      <c r="B279" t="s">
        <v>259</v>
      </c>
      <c r="C279" t="s">
        <v>247</v>
      </c>
      <c r="D279" t="s">
        <v>258</v>
      </c>
      <c r="E279" t="s">
        <v>257</v>
      </c>
      <c r="F279" t="s">
        <v>244</v>
      </c>
      <c r="G279">
        <v>1.15741E-11</v>
      </c>
      <c r="H279" t="s">
        <v>53</v>
      </c>
      <c r="I279" t="s">
        <v>243</v>
      </c>
      <c r="J279" t="s">
        <v>53</v>
      </c>
    </row>
    <row r="280" spans="1:10" x14ac:dyDescent="0.55000000000000004">
      <c r="A280" t="s">
        <v>256</v>
      </c>
      <c r="B280" t="s">
        <v>256</v>
      </c>
      <c r="C280" t="s">
        <v>247</v>
      </c>
      <c r="D280" t="s">
        <v>255</v>
      </c>
      <c r="E280" t="s">
        <v>254</v>
      </c>
      <c r="F280" t="s">
        <v>253</v>
      </c>
      <c r="G280">
        <v>1E-3</v>
      </c>
      <c r="H280" t="s">
        <v>53</v>
      </c>
      <c r="I280" t="s">
        <v>243</v>
      </c>
      <c r="J280" t="s">
        <v>53</v>
      </c>
    </row>
    <row r="281" spans="1:10" x14ac:dyDescent="0.55000000000000004">
      <c r="A281" t="s">
        <v>252</v>
      </c>
      <c r="B281" t="s">
        <v>252</v>
      </c>
      <c r="C281" t="s">
        <v>247</v>
      </c>
      <c r="D281" t="s">
        <v>251</v>
      </c>
      <c r="E281" t="s">
        <v>250</v>
      </c>
      <c r="F281" t="s">
        <v>249</v>
      </c>
      <c r="G281">
        <v>2.7777799999999999E-7</v>
      </c>
      <c r="H281" t="s">
        <v>53</v>
      </c>
      <c r="I281" t="s">
        <v>243</v>
      </c>
      <c r="J281" t="s">
        <v>53</v>
      </c>
    </row>
    <row r="282" spans="1:10" x14ac:dyDescent="0.55000000000000004">
      <c r="A282" t="s">
        <v>248</v>
      </c>
      <c r="B282" t="s">
        <v>248</v>
      </c>
      <c r="C282" t="s">
        <v>247</v>
      </c>
      <c r="D282" t="s">
        <v>246</v>
      </c>
      <c r="E282" t="s">
        <v>245</v>
      </c>
      <c r="F282" t="s">
        <v>244</v>
      </c>
      <c r="G282">
        <v>1.15741E-8</v>
      </c>
      <c r="H282" t="s">
        <v>53</v>
      </c>
      <c r="I282" t="s">
        <v>243</v>
      </c>
      <c r="J282" t="s">
        <v>53</v>
      </c>
    </row>
    <row r="283" spans="1:10" x14ac:dyDescent="0.55000000000000004">
      <c r="A283" t="s">
        <v>242</v>
      </c>
      <c r="B283" t="s">
        <v>242</v>
      </c>
      <c r="C283" t="s">
        <v>231</v>
      </c>
      <c r="D283" t="s">
        <v>235</v>
      </c>
      <c r="E283" t="s">
        <v>234</v>
      </c>
      <c r="F283" t="s">
        <v>233</v>
      </c>
      <c r="G283">
        <v>1</v>
      </c>
      <c r="H283" t="s">
        <v>227</v>
      </c>
      <c r="I283" t="s">
        <v>53</v>
      </c>
      <c r="J283" t="s">
        <v>53</v>
      </c>
    </row>
    <row r="284" spans="1:10" x14ac:dyDescent="0.55000000000000004">
      <c r="A284" t="s">
        <v>241</v>
      </c>
      <c r="B284" t="s">
        <v>241</v>
      </c>
      <c r="C284" t="s">
        <v>231</v>
      </c>
      <c r="D284" t="s">
        <v>230</v>
      </c>
      <c r="E284" t="s">
        <v>229</v>
      </c>
      <c r="F284" t="s">
        <v>53</v>
      </c>
      <c r="G284">
        <v>3.1699999999999998E-5</v>
      </c>
      <c r="H284" t="s">
        <v>232</v>
      </c>
      <c r="I284" t="s">
        <v>227</v>
      </c>
      <c r="J284" t="s">
        <v>53</v>
      </c>
    </row>
    <row r="285" spans="1:10" x14ac:dyDescent="0.55000000000000004">
      <c r="A285" t="s">
        <v>240</v>
      </c>
      <c r="B285" t="s">
        <v>240</v>
      </c>
      <c r="C285" t="s">
        <v>231</v>
      </c>
      <c r="D285" t="s">
        <v>238</v>
      </c>
      <c r="E285" t="s">
        <v>237</v>
      </c>
      <c r="F285" t="s">
        <v>236</v>
      </c>
      <c r="G285">
        <v>3.1699999999999998E-11</v>
      </c>
      <c r="H285" t="s">
        <v>239</v>
      </c>
      <c r="I285" t="s">
        <v>227</v>
      </c>
      <c r="J285" t="s">
        <v>53</v>
      </c>
    </row>
    <row r="286" spans="1:10" x14ac:dyDescent="0.55000000000000004">
      <c r="A286" t="s">
        <v>239</v>
      </c>
      <c r="B286" t="s">
        <v>239</v>
      </c>
      <c r="C286" t="s">
        <v>231</v>
      </c>
      <c r="D286" t="s">
        <v>238</v>
      </c>
      <c r="E286" t="s">
        <v>237</v>
      </c>
      <c r="F286" t="s">
        <v>236</v>
      </c>
      <c r="G286">
        <v>3.1709790000000001E-11</v>
      </c>
      <c r="H286" t="s">
        <v>53</v>
      </c>
      <c r="I286" t="s">
        <v>227</v>
      </c>
      <c r="J286" t="s">
        <v>53</v>
      </c>
    </row>
    <row r="287" spans="1:10" x14ac:dyDescent="0.55000000000000004">
      <c r="A287" t="s">
        <v>227</v>
      </c>
      <c r="B287" t="s">
        <v>227</v>
      </c>
      <c r="C287" t="s">
        <v>231</v>
      </c>
      <c r="D287" t="s">
        <v>235</v>
      </c>
      <c r="E287" t="s">
        <v>234</v>
      </c>
      <c r="F287" t="s">
        <v>233</v>
      </c>
      <c r="G287">
        <v>1</v>
      </c>
      <c r="H287" t="s">
        <v>53</v>
      </c>
      <c r="I287" t="s">
        <v>227</v>
      </c>
      <c r="J287" t="s">
        <v>53</v>
      </c>
    </row>
    <row r="288" spans="1:10" x14ac:dyDescent="0.55000000000000004">
      <c r="A288" t="s">
        <v>232</v>
      </c>
      <c r="B288" t="s">
        <v>232</v>
      </c>
      <c r="C288" t="s">
        <v>231</v>
      </c>
      <c r="D288" t="s">
        <v>230</v>
      </c>
      <c r="E288" t="s">
        <v>229</v>
      </c>
      <c r="F288" t="s">
        <v>228</v>
      </c>
      <c r="G288">
        <v>3.1709789999999998E-5</v>
      </c>
      <c r="H288" t="s">
        <v>53</v>
      </c>
      <c r="I288" t="s">
        <v>227</v>
      </c>
      <c r="J288" t="s">
        <v>53</v>
      </c>
    </row>
    <row r="289" spans="1:10" x14ac:dyDescent="0.55000000000000004">
      <c r="A289" t="s">
        <v>216</v>
      </c>
      <c r="B289" t="s">
        <v>216</v>
      </c>
      <c r="C289" t="s">
        <v>220</v>
      </c>
      <c r="D289" t="s">
        <v>226</v>
      </c>
      <c r="E289" t="s">
        <v>225</v>
      </c>
      <c r="F289" t="s">
        <v>53</v>
      </c>
      <c r="G289">
        <v>1</v>
      </c>
      <c r="H289" t="s">
        <v>53</v>
      </c>
      <c r="I289" t="s">
        <v>53</v>
      </c>
      <c r="J289" t="s">
        <v>53</v>
      </c>
    </row>
    <row r="290" spans="1:10" x14ac:dyDescent="0.55000000000000004">
      <c r="A290" t="s">
        <v>224</v>
      </c>
      <c r="B290" t="s">
        <v>224</v>
      </c>
      <c r="C290" t="s">
        <v>220</v>
      </c>
      <c r="D290" t="s">
        <v>223</v>
      </c>
      <c r="E290" t="s">
        <v>222</v>
      </c>
      <c r="F290" t="s">
        <v>53</v>
      </c>
      <c r="G290">
        <v>9.9999999999999995E-7</v>
      </c>
      <c r="H290" t="s">
        <v>53</v>
      </c>
      <c r="I290" t="s">
        <v>216</v>
      </c>
      <c r="J290" t="s">
        <v>53</v>
      </c>
    </row>
    <row r="291" spans="1:10" x14ac:dyDescent="0.55000000000000004">
      <c r="A291" t="s">
        <v>221</v>
      </c>
      <c r="B291" t="s">
        <v>221</v>
      </c>
      <c r="C291" t="s">
        <v>220</v>
      </c>
      <c r="D291" t="s">
        <v>219</v>
      </c>
      <c r="E291" t="s">
        <v>218</v>
      </c>
      <c r="F291" t="s">
        <v>217</v>
      </c>
      <c r="G291">
        <v>1E-4</v>
      </c>
      <c r="H291" t="s">
        <v>53</v>
      </c>
      <c r="I291" t="s">
        <v>216</v>
      </c>
      <c r="J291" t="s">
        <v>53</v>
      </c>
    </row>
    <row r="292" spans="1:10" x14ac:dyDescent="0.55000000000000004">
      <c r="A292" t="s">
        <v>206</v>
      </c>
      <c r="B292" t="s">
        <v>206</v>
      </c>
      <c r="C292" t="s">
        <v>209</v>
      </c>
      <c r="D292" t="s">
        <v>215</v>
      </c>
      <c r="E292" t="s">
        <v>214</v>
      </c>
      <c r="F292" t="s">
        <v>53</v>
      </c>
      <c r="G292">
        <v>1</v>
      </c>
      <c r="H292" t="s">
        <v>53</v>
      </c>
      <c r="I292" t="s">
        <v>53</v>
      </c>
      <c r="J292" t="s">
        <v>53</v>
      </c>
    </row>
    <row r="293" spans="1:10" x14ac:dyDescent="0.55000000000000004">
      <c r="A293" t="s">
        <v>213</v>
      </c>
      <c r="B293" t="s">
        <v>213</v>
      </c>
      <c r="C293" t="s">
        <v>209</v>
      </c>
      <c r="D293" t="s">
        <v>212</v>
      </c>
      <c r="E293" t="s">
        <v>211</v>
      </c>
      <c r="F293" t="s">
        <v>53</v>
      </c>
      <c r="G293">
        <v>1000</v>
      </c>
      <c r="H293" t="s">
        <v>53</v>
      </c>
      <c r="I293" t="s">
        <v>206</v>
      </c>
      <c r="J293" t="s">
        <v>53</v>
      </c>
    </row>
    <row r="294" spans="1:10" x14ac:dyDescent="0.55000000000000004">
      <c r="A294" t="s">
        <v>210</v>
      </c>
      <c r="B294" t="s">
        <v>210</v>
      </c>
      <c r="C294" t="s">
        <v>209</v>
      </c>
      <c r="D294" t="s">
        <v>208</v>
      </c>
      <c r="E294" t="s">
        <v>207</v>
      </c>
      <c r="F294" t="s">
        <v>53</v>
      </c>
      <c r="G294">
        <v>1000000</v>
      </c>
      <c r="H294" t="s">
        <v>53</v>
      </c>
      <c r="I294" t="s">
        <v>206</v>
      </c>
      <c r="J294" t="s">
        <v>53</v>
      </c>
    </row>
    <row r="295" spans="1:10" x14ac:dyDescent="0.55000000000000004">
      <c r="A295" t="s">
        <v>205</v>
      </c>
      <c r="B295" t="s">
        <v>205</v>
      </c>
      <c r="C295" t="s">
        <v>204</v>
      </c>
      <c r="D295" t="s">
        <v>203</v>
      </c>
      <c r="E295" t="s">
        <v>202</v>
      </c>
      <c r="F295" t="s">
        <v>201</v>
      </c>
      <c r="G295">
        <v>1</v>
      </c>
      <c r="H295" t="s">
        <v>200</v>
      </c>
      <c r="I295" t="s">
        <v>53</v>
      </c>
      <c r="J295" t="s">
        <v>53</v>
      </c>
    </row>
    <row r="296" spans="1:10" x14ac:dyDescent="0.55000000000000004">
      <c r="A296" t="s">
        <v>200</v>
      </c>
      <c r="B296" t="s">
        <v>200</v>
      </c>
      <c r="C296" t="s">
        <v>204</v>
      </c>
      <c r="D296" t="s">
        <v>203</v>
      </c>
      <c r="E296" t="s">
        <v>202</v>
      </c>
      <c r="F296" t="s">
        <v>201</v>
      </c>
      <c r="G296">
        <v>1</v>
      </c>
      <c r="H296" t="s">
        <v>53</v>
      </c>
      <c r="I296" t="s">
        <v>200</v>
      </c>
      <c r="J296" t="s">
        <v>53</v>
      </c>
    </row>
    <row r="297" spans="1:10" x14ac:dyDescent="0.55000000000000004">
      <c r="A297" t="s">
        <v>199</v>
      </c>
      <c r="B297" t="s">
        <v>199</v>
      </c>
      <c r="C297" t="s">
        <v>198</v>
      </c>
      <c r="D297" t="s">
        <v>197</v>
      </c>
      <c r="E297" t="s">
        <v>196</v>
      </c>
      <c r="F297" t="s">
        <v>53</v>
      </c>
      <c r="G297">
        <v>1</v>
      </c>
      <c r="H297" t="s">
        <v>53</v>
      </c>
      <c r="I297" t="s">
        <v>53</v>
      </c>
      <c r="J297" t="s">
        <v>53</v>
      </c>
    </row>
    <row r="298" spans="1:10" x14ac:dyDescent="0.55000000000000004">
      <c r="A298" t="s">
        <v>194</v>
      </c>
      <c r="B298" t="s">
        <v>194</v>
      </c>
      <c r="C298" t="s">
        <v>182</v>
      </c>
      <c r="D298" t="s">
        <v>193</v>
      </c>
      <c r="E298" t="s">
        <v>192</v>
      </c>
      <c r="F298" t="s">
        <v>53</v>
      </c>
      <c r="G298">
        <v>1</v>
      </c>
      <c r="H298" t="s">
        <v>179</v>
      </c>
      <c r="I298" t="s">
        <v>53</v>
      </c>
      <c r="J298" t="s">
        <v>53</v>
      </c>
    </row>
    <row r="299" spans="1:10" x14ac:dyDescent="0.55000000000000004">
      <c r="A299" t="s">
        <v>195</v>
      </c>
      <c r="B299" t="s">
        <v>195</v>
      </c>
      <c r="C299" t="s">
        <v>182</v>
      </c>
      <c r="D299" t="s">
        <v>185</v>
      </c>
      <c r="E299" t="s">
        <v>180</v>
      </c>
      <c r="F299" t="s">
        <v>53</v>
      </c>
      <c r="G299">
        <v>9.9999999999999995E-7</v>
      </c>
      <c r="H299" t="s">
        <v>186</v>
      </c>
      <c r="I299" t="s">
        <v>194</v>
      </c>
      <c r="J299" t="s">
        <v>53</v>
      </c>
    </row>
    <row r="300" spans="1:10" x14ac:dyDescent="0.55000000000000004">
      <c r="A300" t="s">
        <v>179</v>
      </c>
      <c r="B300" t="s">
        <v>179</v>
      </c>
      <c r="C300" t="s">
        <v>182</v>
      </c>
      <c r="D300" t="s">
        <v>193</v>
      </c>
      <c r="E300" t="s">
        <v>192</v>
      </c>
      <c r="F300" t="s">
        <v>191</v>
      </c>
      <c r="G300">
        <v>1</v>
      </c>
      <c r="H300" t="s">
        <v>53</v>
      </c>
      <c r="I300" t="s">
        <v>179</v>
      </c>
      <c r="J300" t="s">
        <v>53</v>
      </c>
    </row>
    <row r="301" spans="1:10" x14ac:dyDescent="0.55000000000000004">
      <c r="A301" t="s">
        <v>190</v>
      </c>
      <c r="B301" t="s">
        <v>190</v>
      </c>
      <c r="C301" t="s">
        <v>182</v>
      </c>
      <c r="D301" t="s">
        <v>189</v>
      </c>
      <c r="E301" t="s">
        <v>188</v>
      </c>
      <c r="F301" t="s">
        <v>187</v>
      </c>
      <c r="G301">
        <v>9.9999999999999995E-7</v>
      </c>
      <c r="H301" t="s">
        <v>53</v>
      </c>
      <c r="I301" t="s">
        <v>179</v>
      </c>
      <c r="J301" t="s">
        <v>53</v>
      </c>
    </row>
    <row r="302" spans="1:10" x14ac:dyDescent="0.55000000000000004">
      <c r="A302" t="s">
        <v>186</v>
      </c>
      <c r="B302" t="s">
        <v>186</v>
      </c>
      <c r="C302" t="s">
        <v>182</v>
      </c>
      <c r="D302" t="s">
        <v>185</v>
      </c>
      <c r="E302" t="s">
        <v>180</v>
      </c>
      <c r="F302" t="s">
        <v>184</v>
      </c>
      <c r="G302">
        <v>9.9999999999999995E-7</v>
      </c>
      <c r="H302" t="s">
        <v>53</v>
      </c>
      <c r="I302" t="s">
        <v>179</v>
      </c>
      <c r="J302" t="s">
        <v>53</v>
      </c>
    </row>
    <row r="303" spans="1:10" x14ac:dyDescent="0.55000000000000004">
      <c r="A303" t="s">
        <v>183</v>
      </c>
      <c r="B303" t="s">
        <v>183</v>
      </c>
      <c r="C303" t="s">
        <v>182</v>
      </c>
      <c r="D303" t="s">
        <v>181</v>
      </c>
      <c r="E303" t="s">
        <v>180</v>
      </c>
      <c r="F303" t="s">
        <v>162</v>
      </c>
      <c r="G303">
        <v>1.0000000000000001E-9</v>
      </c>
      <c r="H303" t="s">
        <v>53</v>
      </c>
      <c r="I303" t="s">
        <v>179</v>
      </c>
      <c r="J303" t="s">
        <v>53</v>
      </c>
    </row>
    <row r="304" spans="1:10" x14ac:dyDescent="0.55000000000000004">
      <c r="A304" t="s">
        <v>178</v>
      </c>
      <c r="B304" t="s">
        <v>178</v>
      </c>
      <c r="C304" t="s">
        <v>165</v>
      </c>
      <c r="D304" t="s">
        <v>177</v>
      </c>
      <c r="E304" t="s">
        <v>176</v>
      </c>
      <c r="F304" t="s">
        <v>175</v>
      </c>
      <c r="G304">
        <v>2.7777799999999998E-10</v>
      </c>
      <c r="H304" t="s">
        <v>53</v>
      </c>
      <c r="I304" t="s">
        <v>161</v>
      </c>
      <c r="J304" t="s">
        <v>53</v>
      </c>
    </row>
    <row r="305" spans="1:10" x14ac:dyDescent="0.55000000000000004">
      <c r="A305" t="s">
        <v>174</v>
      </c>
      <c r="B305" t="s">
        <v>174</v>
      </c>
      <c r="C305" t="s">
        <v>165</v>
      </c>
      <c r="D305" t="s">
        <v>173</v>
      </c>
      <c r="E305" t="s">
        <v>172</v>
      </c>
      <c r="F305" t="s">
        <v>171</v>
      </c>
      <c r="G305">
        <v>1.15741E-11</v>
      </c>
      <c r="H305" t="s">
        <v>53</v>
      </c>
      <c r="I305" t="s">
        <v>161</v>
      </c>
      <c r="J305" t="s">
        <v>53</v>
      </c>
    </row>
    <row r="306" spans="1:10" x14ac:dyDescent="0.55000000000000004">
      <c r="A306" t="s">
        <v>170</v>
      </c>
      <c r="B306" t="s">
        <v>170</v>
      </c>
      <c r="C306" t="s">
        <v>165</v>
      </c>
      <c r="D306" t="s">
        <v>169</v>
      </c>
      <c r="E306" t="s">
        <v>168</v>
      </c>
      <c r="F306" t="s">
        <v>167</v>
      </c>
      <c r="G306">
        <v>1.6534400000000001E-12</v>
      </c>
      <c r="H306" t="s">
        <v>53</v>
      </c>
      <c r="I306" t="s">
        <v>161</v>
      </c>
      <c r="J306" t="s">
        <v>53</v>
      </c>
    </row>
    <row r="307" spans="1:10" x14ac:dyDescent="0.55000000000000004">
      <c r="A307" t="s">
        <v>166</v>
      </c>
      <c r="B307" t="s">
        <v>166</v>
      </c>
      <c r="C307" t="s">
        <v>165</v>
      </c>
      <c r="D307" t="s">
        <v>164</v>
      </c>
      <c r="E307" t="s">
        <v>163</v>
      </c>
      <c r="F307" t="s">
        <v>162</v>
      </c>
      <c r="G307">
        <v>2.7777799999999999E-7</v>
      </c>
      <c r="H307" t="s">
        <v>53</v>
      </c>
      <c r="I307" t="s">
        <v>161</v>
      </c>
      <c r="J307" t="s">
        <v>53</v>
      </c>
    </row>
    <row r="308" spans="1:10" x14ac:dyDescent="0.55000000000000004">
      <c r="A308" t="s">
        <v>160</v>
      </c>
      <c r="B308" t="s">
        <v>160</v>
      </c>
      <c r="C308" t="s">
        <v>145</v>
      </c>
      <c r="D308" t="s">
        <v>159</v>
      </c>
      <c r="E308" t="s">
        <v>158</v>
      </c>
      <c r="F308" t="s">
        <v>53</v>
      </c>
      <c r="G308">
        <v>1</v>
      </c>
      <c r="H308" t="s">
        <v>141</v>
      </c>
      <c r="I308" t="s">
        <v>53</v>
      </c>
      <c r="J308" t="s">
        <v>53</v>
      </c>
    </row>
    <row r="309" spans="1:10" x14ac:dyDescent="0.55000000000000004">
      <c r="A309" t="s">
        <v>141</v>
      </c>
      <c r="B309" t="s">
        <v>141</v>
      </c>
      <c r="C309" t="s">
        <v>145</v>
      </c>
      <c r="D309" t="s">
        <v>157</v>
      </c>
      <c r="E309" t="s">
        <v>143</v>
      </c>
      <c r="F309" t="s">
        <v>156</v>
      </c>
      <c r="G309">
        <v>1</v>
      </c>
      <c r="H309" t="s">
        <v>53</v>
      </c>
      <c r="I309" t="s">
        <v>141</v>
      </c>
      <c r="J309" t="s">
        <v>53</v>
      </c>
    </row>
    <row r="310" spans="1:10" x14ac:dyDescent="0.55000000000000004">
      <c r="A310" t="s">
        <v>155</v>
      </c>
      <c r="B310" t="s">
        <v>155</v>
      </c>
      <c r="C310" t="s">
        <v>145</v>
      </c>
      <c r="D310" t="s">
        <v>154</v>
      </c>
      <c r="E310" t="s">
        <v>143</v>
      </c>
      <c r="F310" t="s">
        <v>153</v>
      </c>
      <c r="G310">
        <v>1</v>
      </c>
      <c r="H310" t="s">
        <v>53</v>
      </c>
      <c r="I310" t="s">
        <v>141</v>
      </c>
      <c r="J310" t="s">
        <v>53</v>
      </c>
    </row>
    <row r="311" spans="1:10" x14ac:dyDescent="0.55000000000000004">
      <c r="A311" t="s">
        <v>152</v>
      </c>
      <c r="B311" t="s">
        <v>152</v>
      </c>
      <c r="C311" t="s">
        <v>145</v>
      </c>
      <c r="D311" t="s">
        <v>151</v>
      </c>
      <c r="E311" t="s">
        <v>143</v>
      </c>
      <c r="F311" t="s">
        <v>150</v>
      </c>
      <c r="G311">
        <v>1E-3</v>
      </c>
      <c r="H311" t="s">
        <v>53</v>
      </c>
      <c r="I311" t="s">
        <v>141</v>
      </c>
      <c r="J311" t="s">
        <v>53</v>
      </c>
    </row>
    <row r="312" spans="1:10" x14ac:dyDescent="0.55000000000000004">
      <c r="A312" t="s">
        <v>149</v>
      </c>
      <c r="B312" t="s">
        <v>149</v>
      </c>
      <c r="C312" t="s">
        <v>145</v>
      </c>
      <c r="D312" t="s">
        <v>148</v>
      </c>
      <c r="E312" t="s">
        <v>143</v>
      </c>
      <c r="F312" t="s">
        <v>147</v>
      </c>
      <c r="G312">
        <v>9.9999999999999995E-7</v>
      </c>
      <c r="H312" t="s">
        <v>53</v>
      </c>
      <c r="I312" t="s">
        <v>141</v>
      </c>
      <c r="J312" t="s">
        <v>53</v>
      </c>
    </row>
    <row r="313" spans="1:10" x14ac:dyDescent="0.55000000000000004">
      <c r="A313" t="s">
        <v>146</v>
      </c>
      <c r="B313" t="s">
        <v>146</v>
      </c>
      <c r="C313" t="s">
        <v>145</v>
      </c>
      <c r="D313" t="s">
        <v>144</v>
      </c>
      <c r="E313" t="s">
        <v>143</v>
      </c>
      <c r="F313" t="s">
        <v>142</v>
      </c>
      <c r="G313">
        <v>1.0000000000000001E-9</v>
      </c>
      <c r="H313" t="s">
        <v>53</v>
      </c>
      <c r="I313" t="s">
        <v>141</v>
      </c>
      <c r="J313" t="s">
        <v>53</v>
      </c>
    </row>
    <row r="314" spans="1:10" x14ac:dyDescent="0.55000000000000004">
      <c r="A314" t="s">
        <v>128</v>
      </c>
      <c r="B314" t="s">
        <v>128</v>
      </c>
      <c r="D314" t="s">
        <v>140</v>
      </c>
      <c r="E314" t="s">
        <v>130</v>
      </c>
      <c r="F314" t="s">
        <v>139</v>
      </c>
      <c r="G314">
        <v>1</v>
      </c>
      <c r="H314" t="s">
        <v>53</v>
      </c>
      <c r="I314" t="s">
        <v>128</v>
      </c>
      <c r="J314" t="s">
        <v>53</v>
      </c>
    </row>
    <row r="315" spans="1:10" x14ac:dyDescent="0.55000000000000004">
      <c r="A315" t="s">
        <v>138</v>
      </c>
      <c r="B315" t="s">
        <v>138</v>
      </c>
      <c r="D315" t="s">
        <v>137</v>
      </c>
      <c r="E315" t="s">
        <v>130</v>
      </c>
      <c r="F315" t="s">
        <v>136</v>
      </c>
      <c r="G315">
        <v>1E-3</v>
      </c>
      <c r="H315" t="s">
        <v>53</v>
      </c>
      <c r="I315" t="s">
        <v>128</v>
      </c>
      <c r="J315" t="s">
        <v>53</v>
      </c>
    </row>
    <row r="316" spans="1:10" x14ac:dyDescent="0.55000000000000004">
      <c r="A316" t="s">
        <v>135</v>
      </c>
      <c r="B316" t="s">
        <v>135</v>
      </c>
      <c r="D316" t="s">
        <v>134</v>
      </c>
      <c r="E316" t="s">
        <v>130</v>
      </c>
      <c r="F316" t="s">
        <v>133</v>
      </c>
      <c r="G316">
        <v>9.9999999999999995E-7</v>
      </c>
      <c r="H316" t="s">
        <v>53</v>
      </c>
      <c r="I316" t="s">
        <v>128</v>
      </c>
      <c r="J316" t="s">
        <v>53</v>
      </c>
    </row>
    <row r="317" spans="1:10" x14ac:dyDescent="0.55000000000000004">
      <c r="A317" t="s">
        <v>132</v>
      </c>
      <c r="B317" t="s">
        <v>132</v>
      </c>
      <c r="D317" t="s">
        <v>131</v>
      </c>
      <c r="E317" t="s">
        <v>130</v>
      </c>
      <c r="F317" t="s">
        <v>129</v>
      </c>
      <c r="G317">
        <v>1.0000000000000001E-9</v>
      </c>
      <c r="H317" t="s">
        <v>53</v>
      </c>
      <c r="I317" t="s">
        <v>128</v>
      </c>
      <c r="J317" t="s">
        <v>53</v>
      </c>
    </row>
    <row r="318" spans="1:10" x14ac:dyDescent="0.55000000000000004">
      <c r="A318" t="s">
        <v>115</v>
      </c>
      <c r="B318" t="s">
        <v>115</v>
      </c>
      <c r="D318" t="s">
        <v>127</v>
      </c>
      <c r="E318" t="s">
        <v>117</v>
      </c>
      <c r="F318" t="s">
        <v>126</v>
      </c>
      <c r="G318">
        <v>1</v>
      </c>
      <c r="H318" t="s">
        <v>53</v>
      </c>
      <c r="I318" t="s">
        <v>115</v>
      </c>
      <c r="J318" t="s">
        <v>53</v>
      </c>
    </row>
    <row r="319" spans="1:10" x14ac:dyDescent="0.55000000000000004">
      <c r="A319" t="s">
        <v>125</v>
      </c>
      <c r="B319" t="s">
        <v>125</v>
      </c>
      <c r="D319" t="s">
        <v>124</v>
      </c>
      <c r="E319" t="s">
        <v>117</v>
      </c>
      <c r="F319" t="s">
        <v>123</v>
      </c>
      <c r="G319">
        <v>1E-3</v>
      </c>
      <c r="H319" t="s">
        <v>53</v>
      </c>
      <c r="I319" t="s">
        <v>115</v>
      </c>
      <c r="J319" t="s">
        <v>53</v>
      </c>
    </row>
    <row r="320" spans="1:10" x14ac:dyDescent="0.55000000000000004">
      <c r="A320" t="s">
        <v>122</v>
      </c>
      <c r="B320" t="s">
        <v>122</v>
      </c>
      <c r="D320" t="s">
        <v>121</v>
      </c>
      <c r="E320" t="s">
        <v>117</v>
      </c>
      <c r="F320" t="s">
        <v>120</v>
      </c>
      <c r="G320">
        <v>9.9999999999999995E-7</v>
      </c>
      <c r="H320" t="s">
        <v>53</v>
      </c>
      <c r="I320" t="s">
        <v>115</v>
      </c>
      <c r="J320" t="s">
        <v>53</v>
      </c>
    </row>
    <row r="321" spans="1:10" x14ac:dyDescent="0.55000000000000004">
      <c r="A321" t="s">
        <v>119</v>
      </c>
      <c r="B321" t="s">
        <v>119</v>
      </c>
      <c r="D321" t="s">
        <v>118</v>
      </c>
      <c r="E321" t="s">
        <v>117</v>
      </c>
      <c r="F321" t="s">
        <v>116</v>
      </c>
      <c r="G321">
        <v>1.0000000000000001E-9</v>
      </c>
      <c r="H321" t="s">
        <v>53</v>
      </c>
      <c r="I321" t="s">
        <v>115</v>
      </c>
      <c r="J321" t="s">
        <v>53</v>
      </c>
    </row>
    <row r="322" spans="1:10" x14ac:dyDescent="0.55000000000000004">
      <c r="A322" t="s">
        <v>111</v>
      </c>
      <c r="B322" t="s">
        <v>111</v>
      </c>
      <c r="C322" t="s">
        <v>108</v>
      </c>
      <c r="D322" t="s">
        <v>111</v>
      </c>
      <c r="E322" t="s">
        <v>114</v>
      </c>
      <c r="F322" t="s">
        <v>113</v>
      </c>
      <c r="G322">
        <v>1</v>
      </c>
      <c r="H322" t="s">
        <v>53</v>
      </c>
      <c r="I322" t="s">
        <v>108</v>
      </c>
      <c r="J322" t="s">
        <v>53</v>
      </c>
    </row>
    <row r="323" spans="1:10" x14ac:dyDescent="0.55000000000000004">
      <c r="A323" t="s">
        <v>112</v>
      </c>
      <c r="B323" t="s">
        <v>112</v>
      </c>
      <c r="C323" t="s">
        <v>108</v>
      </c>
      <c r="D323" t="s">
        <v>111</v>
      </c>
      <c r="E323" t="s">
        <v>110</v>
      </c>
      <c r="F323" t="s">
        <v>109</v>
      </c>
      <c r="G323">
        <v>1</v>
      </c>
      <c r="H323" t="s">
        <v>53</v>
      </c>
      <c r="I323" t="s">
        <v>108</v>
      </c>
      <c r="J323" t="s">
        <v>53</v>
      </c>
    </row>
    <row r="324" spans="1:10" x14ac:dyDescent="0.55000000000000004">
      <c r="A324" t="s">
        <v>100</v>
      </c>
      <c r="B324" t="s">
        <v>100</v>
      </c>
      <c r="D324" t="s">
        <v>107</v>
      </c>
      <c r="E324" t="s">
        <v>106</v>
      </c>
      <c r="F324" t="s">
        <v>105</v>
      </c>
      <c r="G324">
        <v>1</v>
      </c>
      <c r="H324" t="s">
        <v>53</v>
      </c>
      <c r="I324" t="s">
        <v>100</v>
      </c>
      <c r="J324" t="s">
        <v>53</v>
      </c>
    </row>
    <row r="325" spans="1:10" x14ac:dyDescent="0.55000000000000004">
      <c r="A325" t="s">
        <v>104</v>
      </c>
      <c r="B325" t="s">
        <v>104</v>
      </c>
      <c r="D325" t="s">
        <v>103</v>
      </c>
      <c r="E325" t="s">
        <v>102</v>
      </c>
      <c r="F325" t="s">
        <v>101</v>
      </c>
      <c r="G325">
        <v>1000</v>
      </c>
      <c r="H325" t="s">
        <v>53</v>
      </c>
      <c r="I325" t="s">
        <v>100</v>
      </c>
      <c r="J325" t="s">
        <v>53</v>
      </c>
    </row>
    <row r="326" spans="1:10" x14ac:dyDescent="0.55000000000000004">
      <c r="A326" t="s">
        <v>92</v>
      </c>
      <c r="B326" t="s">
        <v>92</v>
      </c>
      <c r="D326" t="s">
        <v>99</v>
      </c>
      <c r="E326" t="s">
        <v>98</v>
      </c>
      <c r="F326" t="s">
        <v>97</v>
      </c>
      <c r="G326">
        <v>1</v>
      </c>
      <c r="H326" t="s">
        <v>53</v>
      </c>
      <c r="I326" t="s">
        <v>92</v>
      </c>
      <c r="J326" t="s">
        <v>53</v>
      </c>
    </row>
    <row r="327" spans="1:10" x14ac:dyDescent="0.55000000000000004">
      <c r="A327" t="s">
        <v>96</v>
      </c>
      <c r="B327" t="s">
        <v>96</v>
      </c>
      <c r="D327" t="s">
        <v>95</v>
      </c>
      <c r="E327" t="s">
        <v>94</v>
      </c>
      <c r="F327" t="s">
        <v>93</v>
      </c>
      <c r="G327">
        <v>9.9999999999999995E-8</v>
      </c>
      <c r="H327" t="s">
        <v>53</v>
      </c>
      <c r="I327" t="s">
        <v>92</v>
      </c>
      <c r="J327" t="s">
        <v>53</v>
      </c>
    </row>
    <row r="328" spans="1:10" x14ac:dyDescent="0.55000000000000004">
      <c r="A328" t="s">
        <v>91</v>
      </c>
      <c r="B328" t="s">
        <v>91</v>
      </c>
      <c r="D328" t="s">
        <v>90</v>
      </c>
      <c r="E328" t="s">
        <v>89</v>
      </c>
      <c r="F328" t="s">
        <v>88</v>
      </c>
      <c r="G328">
        <v>1.0000000000000001E-9</v>
      </c>
      <c r="H328" t="s">
        <v>53</v>
      </c>
      <c r="I328" t="s">
        <v>83</v>
      </c>
      <c r="J328" t="s">
        <v>53</v>
      </c>
    </row>
    <row r="329" spans="1:10" x14ac:dyDescent="0.55000000000000004">
      <c r="A329" t="s">
        <v>87</v>
      </c>
      <c r="B329" t="s">
        <v>87</v>
      </c>
      <c r="D329" t="s">
        <v>86</v>
      </c>
      <c r="E329" t="s">
        <v>85</v>
      </c>
      <c r="F329" t="s">
        <v>84</v>
      </c>
      <c r="G329">
        <v>9.9999999999999995E-8</v>
      </c>
      <c r="H329" t="s">
        <v>53</v>
      </c>
      <c r="I329" t="s">
        <v>83</v>
      </c>
      <c r="J329" t="s">
        <v>53</v>
      </c>
    </row>
    <row r="330" spans="1:10" x14ac:dyDescent="0.55000000000000004">
      <c r="A330" t="s">
        <v>82</v>
      </c>
      <c r="B330" t="s">
        <v>82</v>
      </c>
      <c r="D330" t="s">
        <v>81</v>
      </c>
      <c r="E330" t="s">
        <v>80</v>
      </c>
      <c r="F330" t="s">
        <v>79</v>
      </c>
      <c r="G330">
        <v>1.0000000000000001E-9</v>
      </c>
      <c r="H330" t="s">
        <v>53</v>
      </c>
      <c r="I330" t="s">
        <v>74</v>
      </c>
      <c r="J330" t="s">
        <v>53</v>
      </c>
    </row>
    <row r="331" spans="1:10" x14ac:dyDescent="0.55000000000000004">
      <c r="A331" t="s">
        <v>78</v>
      </c>
      <c r="B331" t="s">
        <v>78</v>
      </c>
      <c r="D331" t="s">
        <v>77</v>
      </c>
      <c r="E331" t="s">
        <v>76</v>
      </c>
      <c r="F331" t="s">
        <v>75</v>
      </c>
      <c r="G331">
        <v>9.9999999999999995E-8</v>
      </c>
      <c r="H331" t="s">
        <v>53</v>
      </c>
      <c r="I331" t="s">
        <v>74</v>
      </c>
      <c r="J331" t="s">
        <v>53</v>
      </c>
    </row>
    <row r="332" spans="1:10" x14ac:dyDescent="0.55000000000000004">
      <c r="A332" t="s">
        <v>63</v>
      </c>
      <c r="B332" t="s">
        <v>63</v>
      </c>
      <c r="D332" t="s">
        <v>73</v>
      </c>
      <c r="E332" t="s">
        <v>69</v>
      </c>
      <c r="F332" t="s">
        <v>72</v>
      </c>
      <c r="G332">
        <v>1</v>
      </c>
      <c r="H332" t="s">
        <v>53</v>
      </c>
      <c r="I332" t="s">
        <v>63</v>
      </c>
      <c r="J332" t="s">
        <v>53</v>
      </c>
    </row>
    <row r="333" spans="1:10" x14ac:dyDescent="0.55000000000000004">
      <c r="A333" t="s">
        <v>71</v>
      </c>
      <c r="B333" t="s">
        <v>71</v>
      </c>
      <c r="D333" t="s">
        <v>70</v>
      </c>
      <c r="E333" t="s">
        <v>69</v>
      </c>
      <c r="F333" t="s">
        <v>68</v>
      </c>
      <c r="G333">
        <v>9.9999999999999995E-7</v>
      </c>
      <c r="H333" t="s">
        <v>53</v>
      </c>
      <c r="I333" t="s">
        <v>63</v>
      </c>
      <c r="J333" t="s">
        <v>53</v>
      </c>
    </row>
    <row r="334" spans="1:10" x14ac:dyDescent="0.55000000000000004">
      <c r="A334" t="s">
        <v>67</v>
      </c>
      <c r="B334" t="s">
        <v>67</v>
      </c>
      <c r="D334" t="s">
        <v>66</v>
      </c>
      <c r="E334" t="s">
        <v>65</v>
      </c>
      <c r="F334" t="s">
        <v>64</v>
      </c>
      <c r="G334">
        <v>0.01</v>
      </c>
      <c r="H334" t="s">
        <v>53</v>
      </c>
      <c r="I334" t="s">
        <v>63</v>
      </c>
      <c r="J334" t="s">
        <v>53</v>
      </c>
    </row>
    <row r="335" spans="1:10" x14ac:dyDescent="0.55000000000000004">
      <c r="A335" t="s">
        <v>62</v>
      </c>
      <c r="B335" t="s">
        <v>62</v>
      </c>
      <c r="C335" t="s">
        <v>57</v>
      </c>
      <c r="D335" t="s">
        <v>61</v>
      </c>
      <c r="E335" t="s">
        <v>60</v>
      </c>
      <c r="F335" t="s">
        <v>59</v>
      </c>
      <c r="G335">
        <v>11.5741</v>
      </c>
      <c r="H335" t="s">
        <v>53</v>
      </c>
      <c r="I335" t="s">
        <v>52</v>
      </c>
      <c r="J335">
        <v>0</v>
      </c>
    </row>
    <row r="336" spans="1:10" x14ac:dyDescent="0.55000000000000004">
      <c r="A336" t="s">
        <v>58</v>
      </c>
      <c r="B336" t="s">
        <v>58</v>
      </c>
      <c r="C336" t="s">
        <v>57</v>
      </c>
      <c r="D336" t="s">
        <v>56</v>
      </c>
      <c r="E336" t="s">
        <v>55</v>
      </c>
      <c r="F336" t="s">
        <v>54</v>
      </c>
      <c r="G336">
        <v>0.484259</v>
      </c>
      <c r="H336" t="s">
        <v>53</v>
      </c>
      <c r="I336" t="s">
        <v>52</v>
      </c>
      <c r="J336">
        <v>0</v>
      </c>
    </row>
    <row r="337" spans="1:1" x14ac:dyDescent="0.55000000000000004">
      <c r="A337" t="str">
        <f>IF(custom_units!A9="","",custom_units!A9)</f>
        <v/>
      </c>
    </row>
    <row r="338" spans="1:1" x14ac:dyDescent="0.55000000000000004">
      <c r="A338" t="str">
        <f>IF(custom_units!A10="","",custom_units!A10)</f>
        <v/>
      </c>
    </row>
    <row r="339" spans="1:1" x14ac:dyDescent="0.55000000000000004">
      <c r="A339" t="str">
        <f>IF(custom_units!A11="","",custom_units!A11)</f>
        <v/>
      </c>
    </row>
    <row r="340" spans="1:1" x14ac:dyDescent="0.55000000000000004">
      <c r="A340" t="str">
        <f>IF(custom_units!A12="","",custom_units!A12)</f>
        <v/>
      </c>
    </row>
    <row r="341" spans="1:1" x14ac:dyDescent="0.55000000000000004">
      <c r="A341" t="str">
        <f>IF(custom_units!A13="","",custom_units!A13)</f>
        <v/>
      </c>
    </row>
    <row r="342" spans="1:1" x14ac:dyDescent="0.55000000000000004">
      <c r="A342" t="str">
        <f>IF(custom_units!A14="","",custom_units!A14)</f>
        <v/>
      </c>
    </row>
    <row r="343" spans="1:1" x14ac:dyDescent="0.55000000000000004">
      <c r="A343" t="str">
        <f>IF(custom_units!A15="","",custom_units!A15)</f>
        <v/>
      </c>
    </row>
    <row r="344" spans="1:1" x14ac:dyDescent="0.55000000000000004">
      <c r="A344" t="str">
        <f>IF(custom_units!A16="","",custom_units!A16)</f>
        <v/>
      </c>
    </row>
    <row r="345" spans="1:1" x14ac:dyDescent="0.55000000000000004">
      <c r="A345" t="str">
        <f>IF(custom_units!A17="","",custom_units!A17)</f>
        <v/>
      </c>
    </row>
    <row r="346" spans="1:1" x14ac:dyDescent="0.55000000000000004">
      <c r="A346" t="str">
        <f>IF(custom_units!A18="","",custom_units!A18)</f>
        <v/>
      </c>
    </row>
    <row r="347" spans="1:1" x14ac:dyDescent="0.55000000000000004">
      <c r="A347" t="str">
        <f>IF(custom_units!A19="","",custom_units!A19)</f>
        <v/>
      </c>
    </row>
    <row r="348" spans="1:1" x14ac:dyDescent="0.55000000000000004">
      <c r="A348" t="str">
        <f>IF(custom_units!A20="","",custom_units!A20)</f>
        <v/>
      </c>
    </row>
    <row r="349" spans="1:1" x14ac:dyDescent="0.55000000000000004">
      <c r="A349" t="str">
        <f>IF(custom_units!A21="","",custom_units!A21)</f>
        <v/>
      </c>
    </row>
    <row r="350" spans="1:1" x14ac:dyDescent="0.55000000000000004">
      <c r="A350" t="str">
        <f>IF(custom_units!A22="","",custom_units!A22)</f>
        <v/>
      </c>
    </row>
    <row r="351" spans="1:1" x14ac:dyDescent="0.55000000000000004">
      <c r="A351" t="str">
        <f>IF(custom_units!A23="","",custom_units!A23)</f>
        <v/>
      </c>
    </row>
    <row r="352" spans="1:1" x14ac:dyDescent="0.55000000000000004">
      <c r="A352" t="str">
        <f>IF(custom_units!A24="","",custom_units!A24)</f>
        <v/>
      </c>
    </row>
    <row r="353" spans="1:1" x14ac:dyDescent="0.55000000000000004">
      <c r="A353" t="str">
        <f>IF(custom_units!A25="","",custom_units!A25)</f>
        <v/>
      </c>
    </row>
    <row r="354" spans="1:1" x14ac:dyDescent="0.55000000000000004">
      <c r="A354" t="str">
        <f>IF(custom_units!A26="","",custom_units!A26)</f>
        <v/>
      </c>
    </row>
    <row r="355" spans="1:1" x14ac:dyDescent="0.55000000000000004">
      <c r="A355" t="str">
        <f>IF(custom_units!A27="","",custom_units!A27)</f>
        <v/>
      </c>
    </row>
    <row r="356" spans="1:1" x14ac:dyDescent="0.55000000000000004">
      <c r="A356" t="str">
        <f>IF(custom_units!A28="","",custom_units!A28)</f>
        <v/>
      </c>
    </row>
    <row r="357" spans="1:1" x14ac:dyDescent="0.55000000000000004">
      <c r="A357" t="str">
        <f>IF(custom_units!A29="","",custom_units!A29)</f>
        <v/>
      </c>
    </row>
    <row r="358" spans="1:1" x14ac:dyDescent="0.55000000000000004">
      <c r="A358" t="str">
        <f>IF(custom_units!A30="","",custom_units!A30)</f>
        <v/>
      </c>
    </row>
    <row r="359" spans="1:1" x14ac:dyDescent="0.55000000000000004">
      <c r="A359" t="str">
        <f>IF(custom_units!A31="","",custom_units!A31)</f>
        <v/>
      </c>
    </row>
    <row r="360" spans="1:1" x14ac:dyDescent="0.55000000000000004">
      <c r="A360" t="str">
        <f>IF(custom_units!A32="","",custom_units!A32)</f>
        <v/>
      </c>
    </row>
    <row r="361" spans="1:1" x14ac:dyDescent="0.55000000000000004">
      <c r="A361" t="str">
        <f>IF(custom_units!A33="","",custom_units!A33)</f>
        <v/>
      </c>
    </row>
    <row r="362" spans="1:1" x14ac:dyDescent="0.55000000000000004">
      <c r="A362" t="str">
        <f>IF(custom_units!A34="","",custom_units!A34)</f>
        <v/>
      </c>
    </row>
    <row r="363" spans="1:1" x14ac:dyDescent="0.55000000000000004">
      <c r="A363" t="str">
        <f>IF(custom_units!A35="","",custom_units!A35)</f>
        <v/>
      </c>
    </row>
    <row r="364" spans="1:1" x14ac:dyDescent="0.55000000000000004">
      <c r="A364" t="str">
        <f>IF(custom_units!A36="","",custom_units!A36)</f>
        <v/>
      </c>
    </row>
    <row r="365" spans="1:1" x14ac:dyDescent="0.55000000000000004">
      <c r="A365" t="str">
        <f>IF(custom_units!A37="","",custom_units!A37)</f>
        <v/>
      </c>
    </row>
    <row r="366" spans="1:1" x14ac:dyDescent="0.55000000000000004">
      <c r="A366" t="str">
        <f>IF(custom_units!A38="","",custom_units!A38)</f>
        <v/>
      </c>
    </row>
    <row r="367" spans="1:1" x14ac:dyDescent="0.55000000000000004">
      <c r="A367" t="str">
        <f>IF(custom_units!A39="","",custom_units!A39)</f>
        <v/>
      </c>
    </row>
    <row r="368" spans="1:1" x14ac:dyDescent="0.55000000000000004">
      <c r="A368" t="str">
        <f>IF(custom_units!A40="","",custom_units!A40)</f>
        <v/>
      </c>
    </row>
    <row r="369" spans="1:1" x14ac:dyDescent="0.55000000000000004">
      <c r="A369" t="str">
        <f>IF(custom_units!A41="","",custom_units!A41)</f>
        <v/>
      </c>
    </row>
    <row r="370" spans="1:1" x14ac:dyDescent="0.55000000000000004">
      <c r="A370" t="str">
        <f>IF(custom_units!A42="","",custom_units!A42)</f>
        <v/>
      </c>
    </row>
    <row r="371" spans="1:1" x14ac:dyDescent="0.55000000000000004">
      <c r="A371" t="str">
        <f>IF(custom_units!A43="","",custom_units!A43)</f>
        <v/>
      </c>
    </row>
    <row r="372" spans="1:1" x14ac:dyDescent="0.55000000000000004">
      <c r="A372" t="str">
        <f>IF(custom_units!A44="","",custom_units!A44)</f>
        <v/>
      </c>
    </row>
    <row r="373" spans="1:1" x14ac:dyDescent="0.55000000000000004">
      <c r="A373" t="str">
        <f>IF(custom_units!A45="","",custom_units!A45)</f>
        <v/>
      </c>
    </row>
    <row r="374" spans="1:1" x14ac:dyDescent="0.55000000000000004">
      <c r="A374" t="str">
        <f>IF(custom_units!A46="","",custom_units!A46)</f>
        <v/>
      </c>
    </row>
    <row r="375" spans="1:1" x14ac:dyDescent="0.55000000000000004">
      <c r="A375" t="str">
        <f>IF(custom_units!A47="","",custom_units!A47)</f>
        <v/>
      </c>
    </row>
    <row r="376" spans="1:1" x14ac:dyDescent="0.55000000000000004">
      <c r="A376" t="str">
        <f>IF(custom_units!A48="","",custom_units!A48)</f>
        <v/>
      </c>
    </row>
    <row r="377" spans="1:1" x14ac:dyDescent="0.55000000000000004">
      <c r="A377" t="str">
        <f>IF(custom_units!A49="","",custom_units!A49)</f>
        <v/>
      </c>
    </row>
    <row r="378" spans="1:1" x14ac:dyDescent="0.55000000000000004">
      <c r="A378" t="str">
        <f>IF(custom_units!A50="","",custom_units!A50)</f>
        <v/>
      </c>
    </row>
    <row r="379" spans="1:1" x14ac:dyDescent="0.55000000000000004">
      <c r="A379" t="str">
        <f>IF(custom_units!A51="","",custom_units!A51)</f>
        <v/>
      </c>
    </row>
    <row r="380" spans="1:1" x14ac:dyDescent="0.55000000000000004">
      <c r="A380" t="str">
        <f>IF(custom_units!A52="","",custom_units!A52)</f>
        <v/>
      </c>
    </row>
    <row r="381" spans="1:1" x14ac:dyDescent="0.55000000000000004">
      <c r="A381" t="str">
        <f>IF(custom_units!A53="","",custom_units!A53)</f>
        <v/>
      </c>
    </row>
    <row r="382" spans="1:1" x14ac:dyDescent="0.55000000000000004">
      <c r="A382" t="str">
        <f>IF(custom_units!A54="","",custom_units!A54)</f>
        <v/>
      </c>
    </row>
    <row r="383" spans="1:1" x14ac:dyDescent="0.55000000000000004">
      <c r="A383" t="str">
        <f>IF(custom_units!A55="","",custom_units!A55)</f>
        <v/>
      </c>
    </row>
    <row r="384" spans="1:1" x14ac:dyDescent="0.55000000000000004">
      <c r="A384" t="str">
        <f>IF(custom_units!A56="","",custom_units!A56)</f>
        <v/>
      </c>
    </row>
    <row r="385" spans="1:1" x14ac:dyDescent="0.55000000000000004">
      <c r="A385" t="str">
        <f>IF(custom_units!A57="","",custom_units!A57)</f>
        <v/>
      </c>
    </row>
    <row r="386" spans="1:1" x14ac:dyDescent="0.55000000000000004">
      <c r="A386" t="str">
        <f>IF(custom_units!A58="","",custom_units!A58)</f>
        <v/>
      </c>
    </row>
    <row r="387" spans="1:1" x14ac:dyDescent="0.55000000000000004">
      <c r="A387" t="str">
        <f>IF(custom_units!A59="","",custom_units!A59)</f>
        <v/>
      </c>
    </row>
    <row r="388" spans="1:1" x14ac:dyDescent="0.55000000000000004">
      <c r="A388" t="str">
        <f>IF(custom_units!A60="","",custom_units!A60)</f>
        <v/>
      </c>
    </row>
    <row r="389" spans="1:1" x14ac:dyDescent="0.55000000000000004">
      <c r="A389" t="str">
        <f>IF(custom_units!A61="","",custom_units!A61)</f>
        <v/>
      </c>
    </row>
    <row r="390" spans="1:1" x14ac:dyDescent="0.55000000000000004">
      <c r="A390" t="str">
        <f>IF(custom_units!A62="","",custom_units!A62)</f>
        <v/>
      </c>
    </row>
    <row r="391" spans="1:1" x14ac:dyDescent="0.55000000000000004">
      <c r="A391" t="str">
        <f>IF(custom_units!A63="","",custom_units!A63)</f>
        <v/>
      </c>
    </row>
    <row r="392" spans="1:1" x14ac:dyDescent="0.55000000000000004">
      <c r="A392" t="str">
        <f>IF(custom_units!A64="","",custom_units!A64)</f>
        <v/>
      </c>
    </row>
    <row r="393" spans="1:1" x14ac:dyDescent="0.55000000000000004">
      <c r="A393" t="str">
        <f>IF(custom_units!A65="","",custom_units!A65)</f>
        <v/>
      </c>
    </row>
    <row r="394" spans="1:1" x14ac:dyDescent="0.55000000000000004">
      <c r="A394" t="str">
        <f>IF(custom_units!A66="","",custom_units!A66)</f>
        <v/>
      </c>
    </row>
    <row r="395" spans="1:1" x14ac:dyDescent="0.55000000000000004">
      <c r="A395" t="str">
        <f>IF(custom_units!A67="","",custom_units!A67)</f>
        <v/>
      </c>
    </row>
    <row r="396" spans="1:1" x14ac:dyDescent="0.55000000000000004">
      <c r="A396" t="str">
        <f>IF(custom_units!A68="","",custom_units!A68)</f>
        <v/>
      </c>
    </row>
    <row r="397" spans="1:1" x14ac:dyDescent="0.55000000000000004">
      <c r="A397" t="str">
        <f>IF(custom_units!A69="","",custom_units!A69)</f>
        <v/>
      </c>
    </row>
    <row r="398" spans="1:1" x14ac:dyDescent="0.55000000000000004">
      <c r="A398" t="str">
        <f>IF(custom_units!A70="","",custom_units!A70)</f>
        <v/>
      </c>
    </row>
    <row r="399" spans="1:1" x14ac:dyDescent="0.55000000000000004">
      <c r="A399" t="str">
        <f>IF(custom_units!A71="","",custom_units!A71)</f>
        <v/>
      </c>
    </row>
    <row r="400" spans="1:1" x14ac:dyDescent="0.55000000000000004">
      <c r="A400" t="str">
        <f>IF(custom_units!A72="","",custom_units!A72)</f>
        <v/>
      </c>
    </row>
    <row r="401" spans="1:1" x14ac:dyDescent="0.55000000000000004">
      <c r="A401" t="str">
        <f>IF(custom_units!A73="","",custom_units!A73)</f>
        <v/>
      </c>
    </row>
    <row r="402" spans="1:1" x14ac:dyDescent="0.55000000000000004">
      <c r="A402" t="str">
        <f>IF(custom_units!A74="","",custom_units!A74)</f>
        <v/>
      </c>
    </row>
    <row r="403" spans="1:1" x14ac:dyDescent="0.55000000000000004">
      <c r="A403" t="str">
        <f>IF(custom_units!A75="","",custom_units!A75)</f>
        <v/>
      </c>
    </row>
    <row r="404" spans="1:1" x14ac:dyDescent="0.55000000000000004">
      <c r="A404" t="str">
        <f>IF(custom_units!A76="","",custom_units!A76)</f>
        <v/>
      </c>
    </row>
    <row r="405" spans="1:1" x14ac:dyDescent="0.55000000000000004">
      <c r="A405" t="str">
        <f>IF(custom_units!A77="","",custom_units!A77)</f>
        <v/>
      </c>
    </row>
    <row r="406" spans="1:1" x14ac:dyDescent="0.55000000000000004">
      <c r="A406" t="str">
        <f>IF(custom_units!A78="","",custom_units!A78)</f>
        <v/>
      </c>
    </row>
    <row r="407" spans="1:1" x14ac:dyDescent="0.55000000000000004">
      <c r="A407" t="str">
        <f>IF(custom_units!A79="","",custom_units!A79)</f>
        <v/>
      </c>
    </row>
    <row r="408" spans="1:1" x14ac:dyDescent="0.55000000000000004">
      <c r="A408" t="str">
        <f>IF(custom_units!A80="","",custom_units!A80)</f>
        <v/>
      </c>
    </row>
    <row r="409" spans="1:1" x14ac:dyDescent="0.55000000000000004">
      <c r="A409" t="str">
        <f>IF(custom_units!A81="","",custom_units!A81)</f>
        <v/>
      </c>
    </row>
    <row r="410" spans="1:1" x14ac:dyDescent="0.55000000000000004">
      <c r="A410" t="str">
        <f>IF(custom_units!A82="","",custom_units!A82)</f>
        <v/>
      </c>
    </row>
    <row r="411" spans="1:1" x14ac:dyDescent="0.55000000000000004">
      <c r="A411" t="str">
        <f>IF(custom_units!A83="","",custom_units!A83)</f>
        <v/>
      </c>
    </row>
    <row r="412" spans="1:1" x14ac:dyDescent="0.55000000000000004">
      <c r="A412" t="str">
        <f>IF(custom_units!A84="","",custom_units!A84)</f>
        <v/>
      </c>
    </row>
    <row r="413" spans="1:1" x14ac:dyDescent="0.55000000000000004">
      <c r="A413" t="str">
        <f>IF(custom_units!A85="","",custom_units!A85)</f>
        <v/>
      </c>
    </row>
    <row r="414" spans="1:1" x14ac:dyDescent="0.55000000000000004">
      <c r="A414" t="str">
        <f>IF(custom_units!A86="","",custom_units!A86)</f>
        <v/>
      </c>
    </row>
    <row r="415" spans="1:1" x14ac:dyDescent="0.55000000000000004">
      <c r="A415" t="str">
        <f>IF(custom_units!A87="","",custom_units!A87)</f>
        <v/>
      </c>
    </row>
    <row r="416" spans="1:1" x14ac:dyDescent="0.55000000000000004">
      <c r="A416" t="str">
        <f>IF(custom_units!A88="","",custom_units!A88)</f>
        <v/>
      </c>
    </row>
    <row r="417" spans="1:1" x14ac:dyDescent="0.55000000000000004">
      <c r="A417" t="str">
        <f>IF(custom_units!A89="","",custom_units!A89)</f>
        <v/>
      </c>
    </row>
    <row r="418" spans="1:1" x14ac:dyDescent="0.55000000000000004">
      <c r="A418" t="str">
        <f>IF(custom_units!A90="","",custom_units!A90)</f>
        <v/>
      </c>
    </row>
    <row r="419" spans="1:1" x14ac:dyDescent="0.55000000000000004">
      <c r="A419" t="str">
        <f>IF(custom_units!A91="","",custom_units!A91)</f>
        <v/>
      </c>
    </row>
    <row r="420" spans="1:1" x14ac:dyDescent="0.55000000000000004">
      <c r="A420" t="str">
        <f>IF(custom_units!A92="","",custom_units!A92)</f>
        <v/>
      </c>
    </row>
    <row r="421" spans="1:1" x14ac:dyDescent="0.55000000000000004">
      <c r="A421" t="str">
        <f>IF(custom_units!A93="","",custom_units!A93)</f>
        <v/>
      </c>
    </row>
  </sheetData>
  <sheetProtection sheet="1" objects="1" scenarios="1"/>
  <pageMargins left="0.7" right="0.7" top="0.75" bottom="0.75" header="0.3" footer="0.3"/>
  <pageSetup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topLeftCell="B1" workbookViewId="0">
      <selection activeCell="D6" sqref="D6"/>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59" t="s">
        <v>41</v>
      </c>
      <c r="B1" s="59"/>
      <c r="C1" s="59"/>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20" priority="3">
      <formula>$B2="attributeName"</formula>
    </cfRule>
  </conditionalFormatting>
  <conditionalFormatting sqref="D2:D200000">
    <cfRule type="expression" dxfId="19" priority="4">
      <formula>AND($D2="",$B2&lt;&gt;"")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A2" sqref="A2"/>
    </sheetView>
  </sheetViews>
  <sheetFormatPr defaultColWidth="9.15625" defaultRowHeight="14.4" x14ac:dyDescent="0.55000000000000004"/>
  <cols>
    <col min="1" max="1" width="71.578125" style="33" customWidth="1"/>
    <col min="2" max="2" width="99.26171875" style="33" customWidth="1"/>
    <col min="3" max="3" width="102.41796875" style="30" customWidth="1"/>
    <col min="9" max="9" width="8.83984375" customWidth="1"/>
    <col min="10" max="15" width="9.15625" hidden="1" customWidth="1"/>
  </cols>
  <sheetData>
    <row r="1" spans="1:2" ht="18.3" x14ac:dyDescent="0.7">
      <c r="A1" s="24" t="s">
        <v>0</v>
      </c>
      <c r="B1" s="24" t="s">
        <v>1</v>
      </c>
    </row>
    <row r="2" spans="1:2" ht="176.7" x14ac:dyDescent="0.55000000000000004">
      <c r="A2" s="22" t="s">
        <v>1168</v>
      </c>
      <c r="B2" s="31"/>
    </row>
    <row r="3" spans="1:2" ht="18.3" x14ac:dyDescent="0.7">
      <c r="A3" s="37" t="s">
        <v>1098</v>
      </c>
      <c r="B3" s="32"/>
    </row>
    <row r="4" spans="1:2" ht="187.2" x14ac:dyDescent="0.55000000000000004">
      <c r="A4" s="41" t="s">
        <v>3</v>
      </c>
    </row>
  </sheetData>
  <conditionalFormatting sqref="A3">
    <cfRule type="expression" dxfId="18" priority="5">
      <formula>$B3="attributeName"</formula>
    </cfRule>
  </conditionalFormatting>
  <conditionalFormatting sqref="A1:B1">
    <cfRule type="expression" dxfId="17" priority="6">
      <formula>$B1="attributeName"</formula>
    </cfRule>
  </conditionalFormatting>
  <conditionalFormatting sqref="B2">
    <cfRule type="expression" dxfId="16" priority="1">
      <formula>$B2=""</formula>
    </cfRule>
    <cfRule type="expression" dxfId="15" priority="2">
      <formula>AND(COUNTA(_xlfn.TEXTSPLIT(TRIM(B2)," "))&gt;=150,COUNTA(_xlfn.TEXTSPLIT(TRIM(B2)," "))&lt;=260)</formula>
    </cfRule>
    <cfRule type="expression" dxfId="14" priority="3">
      <formula>COUNTA(_xlfn.TEXTSPLIT(TRIM(B2)," "))&lt;150</formula>
    </cfRule>
    <cfRule type="expression" dxfId="13" priority="4">
      <formula>AND(COUNTA(_xlfn.TEXTSPLIT(TRIM(B2)," "))&gt;=261,COUNTA(_xlfn.TEXTSPLIT(TRIM(B2)," "))&lt;=370)</formula>
    </cfRule>
    <cfRule type="expression" dxfId="12" priority="7">
      <formula>COUNTA(_xlfn.TEXTSPLIT(TRIM(B2)," "))&gt;370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3" customWidth="1"/>
    <col min="2" max="2" width="71.578125" style="33" customWidth="1"/>
  </cols>
  <sheetData>
    <row r="1" spans="1:2" ht="18.3" x14ac:dyDescent="0.7">
      <c r="A1" s="24" t="s">
        <v>0</v>
      </c>
      <c r="B1" s="24" t="s">
        <v>6</v>
      </c>
    </row>
    <row r="2" spans="1:2" ht="72" x14ac:dyDescent="0.55000000000000004">
      <c r="A2" s="22" t="s">
        <v>5</v>
      </c>
      <c r="B2" s="31"/>
    </row>
    <row r="3" spans="1:2" ht="18.3" x14ac:dyDescent="0.7">
      <c r="A3" s="37" t="s">
        <v>2</v>
      </c>
      <c r="B3" s="32"/>
    </row>
    <row r="4" spans="1:2" ht="187.2" x14ac:dyDescent="0.55000000000000004">
      <c r="A4" s="41" t="s">
        <v>4</v>
      </c>
    </row>
  </sheetData>
  <conditionalFormatting sqref="A3">
    <cfRule type="expression" dxfId="11" priority="1">
      <formula>$B3="attributeName"</formula>
    </cfRule>
  </conditionalFormatting>
  <conditionalFormatting sqref="A1:B1">
    <cfRule type="expression" dxfId="10" priority="2">
      <formula>$B1="attributeName"</formula>
    </cfRule>
  </conditionalFormatting>
  <conditionalFormatting sqref="B2">
    <cfRule type="expression" dxfId="9" priority="3">
      <formula>$B2=""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77"/>
  <sheetViews>
    <sheetView workbookViewId="0">
      <selection activeCell="B5" sqref="B5"/>
    </sheetView>
  </sheetViews>
  <sheetFormatPr defaultColWidth="9.15625" defaultRowHeight="14.4" x14ac:dyDescent="0.55000000000000004"/>
  <cols>
    <col min="1" max="2" width="71.578125" style="33" customWidth="1"/>
    <col min="3" max="3" width="62.05078125" style="30" customWidth="1"/>
    <col min="9" max="9" width="8.83984375" customWidth="1"/>
    <col min="10" max="15" width="9.15625" hidden="1" customWidth="1"/>
  </cols>
  <sheetData>
    <row r="1" spans="1:3" ht="18.3" x14ac:dyDescent="0.7">
      <c r="A1" s="24" t="s">
        <v>0</v>
      </c>
      <c r="B1" s="24"/>
      <c r="C1" s="24"/>
    </row>
    <row r="2" spans="1:3" ht="57.6" x14ac:dyDescent="0.55000000000000004">
      <c r="A2" s="22" t="s">
        <v>9</v>
      </c>
      <c r="B2" s="30"/>
    </row>
    <row r="3" spans="1:3" ht="18.600000000000001" thickBot="1" x14ac:dyDescent="0.75">
      <c r="A3" s="37" t="s">
        <v>2</v>
      </c>
      <c r="B3" s="44" t="s">
        <v>8</v>
      </c>
    </row>
    <row r="4" spans="1:3" x14ac:dyDescent="0.55000000000000004">
      <c r="A4" s="42" t="s">
        <v>10</v>
      </c>
      <c r="B4" s="43" t="s">
        <v>10</v>
      </c>
      <c r="C4" s="43" t="s">
        <v>11</v>
      </c>
    </row>
    <row r="5" spans="1:3" x14ac:dyDescent="0.55000000000000004">
      <c r="A5" s="41" t="s">
        <v>12</v>
      </c>
      <c r="C5" s="22" t="str">
        <f>IFERROR(VLOOKUP(B5, suggested_keywords!A:B, 2, FALSE), "")</f>
        <v/>
      </c>
    </row>
    <row r="6" spans="1:3" x14ac:dyDescent="0.55000000000000004">
      <c r="A6" s="41" t="s">
        <v>13</v>
      </c>
      <c r="C6" s="22" t="str">
        <f>IFERROR(VLOOKUP(B6, suggested_keywords!A:B, 2, FALSE), "")</f>
        <v/>
      </c>
    </row>
    <row r="7" spans="1:3" x14ac:dyDescent="0.55000000000000004">
      <c r="A7" s="41" t="s">
        <v>14</v>
      </c>
      <c r="B7" s="58"/>
      <c r="C7" s="22" t="str">
        <f>IFERROR(VLOOKUP(B7, suggested_keywords!A:B, 2, FALSE), "")</f>
        <v/>
      </c>
    </row>
    <row r="8" spans="1:3" x14ac:dyDescent="0.55000000000000004">
      <c r="A8" s="41" t="s">
        <v>15</v>
      </c>
      <c r="C8" s="22" t="str">
        <f>IFERROR(VLOOKUP(B8, suggested_keywords!A:B, 2, FALSE), "")</f>
        <v/>
      </c>
    </row>
    <row r="9" spans="1:3" x14ac:dyDescent="0.55000000000000004">
      <c r="A9" s="41" t="s">
        <v>16</v>
      </c>
      <c r="C9" s="22" t="str">
        <f>IFERROR(VLOOKUP(B9, suggested_keywords!A:B, 2, FALSE), "")</f>
        <v/>
      </c>
    </row>
    <row r="10" spans="1:3" x14ac:dyDescent="0.55000000000000004">
      <c r="B10" s="30"/>
      <c r="C10" s="22" t="str">
        <f>IFERROR(VLOOKUP(B10, suggested_keywords!A:B, 2, FALSE), "")</f>
        <v/>
      </c>
    </row>
    <row r="11" spans="1:3" x14ac:dyDescent="0.55000000000000004">
      <c r="B11" s="30"/>
      <c r="C11" s="22" t="str">
        <f>IFERROR(VLOOKUP(B11, suggested_keywords!A:B, 2, FALSE), "")</f>
        <v/>
      </c>
    </row>
    <row r="12" spans="1:3" x14ac:dyDescent="0.55000000000000004">
      <c r="B12" s="30"/>
      <c r="C12" s="22" t="str">
        <f>IFERROR(VLOOKUP(B12, suggested_keywords!A:B, 2, FALSE), "")</f>
        <v/>
      </c>
    </row>
    <row r="13" spans="1:3" x14ac:dyDescent="0.55000000000000004">
      <c r="B13" s="30"/>
      <c r="C13" s="22" t="str">
        <f>IFERROR(VLOOKUP(B13, suggested_keywords!A:B, 2, FALSE), "")</f>
        <v/>
      </c>
    </row>
    <row r="14" spans="1:3" x14ac:dyDescent="0.55000000000000004">
      <c r="B14" s="30"/>
      <c r="C14" s="22" t="str">
        <f>IFERROR(VLOOKUP(B14, suggested_keywords!A:B, 2, FALSE), "")</f>
        <v/>
      </c>
    </row>
    <row r="15" spans="1:3" x14ac:dyDescent="0.55000000000000004">
      <c r="B15" s="30"/>
      <c r="C15" s="22" t="str">
        <f>IFERROR(VLOOKUP(B15, suggested_keywords!A:B, 2, FALSE), "")</f>
        <v/>
      </c>
    </row>
    <row r="16" spans="1:3" x14ac:dyDescent="0.55000000000000004">
      <c r="B16" s="30"/>
      <c r="C16" s="22" t="str">
        <f>IFERROR(VLOOKUP(B16, suggested_keywords!A:B, 2, FALSE), "")</f>
        <v/>
      </c>
    </row>
    <row r="17" spans="2:3" x14ac:dyDescent="0.55000000000000004">
      <c r="B17" s="30"/>
      <c r="C17" s="22" t="str">
        <f>IFERROR(VLOOKUP(B17, suggested_keywords!A:B, 2, FALSE), "")</f>
        <v/>
      </c>
    </row>
    <row r="18" spans="2:3" x14ac:dyDescent="0.55000000000000004">
      <c r="B18" s="30"/>
      <c r="C18" s="22" t="str">
        <f>IFERROR(VLOOKUP(B18, suggested_keywords!A:B, 2, FALSE), "")</f>
        <v/>
      </c>
    </row>
    <row r="19" spans="2:3" x14ac:dyDescent="0.55000000000000004">
      <c r="B19" s="30"/>
      <c r="C19" s="22" t="str">
        <f>IFERROR(VLOOKUP(B19, suggested_keywords!A:B, 2, FALSE), "")</f>
        <v/>
      </c>
    </row>
    <row r="20" spans="2:3" x14ac:dyDescent="0.55000000000000004">
      <c r="B20" s="30"/>
      <c r="C20" s="22" t="str">
        <f>IFERROR(VLOOKUP(B20, suggested_keywords!A:B, 2, FALSE), "")</f>
        <v/>
      </c>
    </row>
    <row r="21" spans="2:3" x14ac:dyDescent="0.55000000000000004">
      <c r="B21" s="30"/>
      <c r="C21" s="22" t="str">
        <f>IFERROR(VLOOKUP(B21, suggested_keywords!A:B, 2, FALSE), "")</f>
        <v/>
      </c>
    </row>
    <row r="22" spans="2:3" x14ac:dyDescent="0.55000000000000004">
      <c r="B22" s="30"/>
      <c r="C22" s="22" t="str">
        <f>IFERROR(VLOOKUP(B22, suggested_keywords!A:B, 2, FALSE), "")</f>
        <v/>
      </c>
    </row>
    <row r="23" spans="2:3" x14ac:dyDescent="0.55000000000000004">
      <c r="B23" s="30"/>
      <c r="C23" s="22" t="str">
        <f>IFERROR(VLOOKUP(B23, suggested_keywords!A:B, 2, FALSE), "")</f>
        <v/>
      </c>
    </row>
    <row r="24" spans="2:3" x14ac:dyDescent="0.55000000000000004">
      <c r="B24" s="30"/>
      <c r="C24" s="22" t="str">
        <f>IFERROR(VLOOKUP(B24, suggested_keywords!A:B, 2, FALSE), "")</f>
        <v/>
      </c>
    </row>
    <row r="25" spans="2:3" x14ac:dyDescent="0.55000000000000004">
      <c r="B25" s="30"/>
      <c r="C25" s="22" t="str">
        <f>IFERROR(VLOOKUP(B25, suggested_keywords!A:B, 2, FALSE), "")</f>
        <v/>
      </c>
    </row>
    <row r="26" spans="2:3" x14ac:dyDescent="0.55000000000000004">
      <c r="B26" s="30"/>
      <c r="C26" s="22" t="str">
        <f>IFERROR(VLOOKUP(B26, suggested_keywords!A:B, 2, FALSE), "")</f>
        <v/>
      </c>
    </row>
    <row r="27" spans="2:3" x14ac:dyDescent="0.55000000000000004">
      <c r="C27" s="22" t="str">
        <f>IFERROR(VLOOKUP(B27, suggested_keywords!A:B, 2, FALSE), "")</f>
        <v/>
      </c>
    </row>
    <row r="28" spans="2:3" x14ac:dyDescent="0.55000000000000004">
      <c r="C28" s="22" t="str">
        <f>IFERROR(VLOOKUP(B28, suggested_keywords!A:B, 2, FALSE), "")</f>
        <v/>
      </c>
    </row>
    <row r="29" spans="2:3" x14ac:dyDescent="0.55000000000000004">
      <c r="C29" s="22" t="str">
        <f>IFERROR(VLOOKUP(B29, suggested_keywords!A:B, 2, FALSE), "")</f>
        <v/>
      </c>
    </row>
    <row r="30" spans="2:3" x14ac:dyDescent="0.55000000000000004">
      <c r="C30" s="22" t="str">
        <f>IFERROR(VLOOKUP(B30, suggested_keywords!A:B, 2, FALSE), "")</f>
        <v/>
      </c>
    </row>
    <row r="31" spans="2:3" x14ac:dyDescent="0.55000000000000004">
      <c r="C31" s="22" t="str">
        <f>IFERROR(VLOOKUP(B31, suggested_keywords!A:B, 2, FALSE), "")</f>
        <v/>
      </c>
    </row>
    <row r="32" spans="2:3" x14ac:dyDescent="0.55000000000000004">
      <c r="C32" s="22" t="str">
        <f>IFERROR(VLOOKUP(B32, suggested_keywords!A:B, 2, FALSE), "")</f>
        <v/>
      </c>
    </row>
    <row r="33" spans="3:3" x14ac:dyDescent="0.55000000000000004">
      <c r="C33" s="22" t="str">
        <f>IFERROR(VLOOKUP(B33, suggested_keywords!A:B, 2, FALSE), "")</f>
        <v/>
      </c>
    </row>
    <row r="34" spans="3:3" x14ac:dyDescent="0.55000000000000004">
      <c r="C34" s="22" t="str">
        <f>IFERROR(VLOOKUP(B34, suggested_keywords!A:B, 2, FALSE), "")</f>
        <v/>
      </c>
    </row>
    <row r="35" spans="3:3" x14ac:dyDescent="0.55000000000000004">
      <c r="C35" s="22" t="str">
        <f>IFERROR(VLOOKUP(B35, suggested_keywords!A:B, 2, FALSE), "")</f>
        <v/>
      </c>
    </row>
    <row r="36" spans="3:3" x14ac:dyDescent="0.55000000000000004">
      <c r="C36" s="22" t="str">
        <f>IFERROR(VLOOKUP(B36, suggested_keywords!A:B, 2, FALSE), "")</f>
        <v/>
      </c>
    </row>
    <row r="37" spans="3:3" x14ac:dyDescent="0.55000000000000004">
      <c r="C37" s="22" t="str">
        <f>IFERROR(VLOOKUP(B37, suggested_keywords!A:B, 2, FALSE), "")</f>
        <v/>
      </c>
    </row>
    <row r="38" spans="3:3" x14ac:dyDescent="0.55000000000000004">
      <c r="C38" s="22" t="str">
        <f>IFERROR(VLOOKUP(B38, suggested_keywords!A:B, 2, FALSE), "")</f>
        <v/>
      </c>
    </row>
    <row r="39" spans="3:3" x14ac:dyDescent="0.55000000000000004">
      <c r="C39" s="22" t="str">
        <f>IFERROR(VLOOKUP(B39, suggested_keywords!A:B, 2, FALSE), "")</f>
        <v/>
      </c>
    </row>
    <row r="40" spans="3:3" x14ac:dyDescent="0.55000000000000004">
      <c r="C40" s="22" t="str">
        <f>IFERROR(VLOOKUP(B40, suggested_keywords!A:B, 2, FALSE), "")</f>
        <v/>
      </c>
    </row>
    <row r="41" spans="3:3" x14ac:dyDescent="0.55000000000000004">
      <c r="C41" s="22" t="str">
        <f>IFERROR(VLOOKUP(B41, suggested_keywords!A:B, 2, FALSE), "")</f>
        <v/>
      </c>
    </row>
    <row r="42" spans="3:3" x14ac:dyDescent="0.55000000000000004">
      <c r="C42" s="22" t="str">
        <f>IFERROR(VLOOKUP(B42, suggested_keywords!A:B, 2, FALSE), "")</f>
        <v/>
      </c>
    </row>
    <row r="43" spans="3:3" x14ac:dyDescent="0.55000000000000004">
      <c r="C43" s="22" t="str">
        <f>IFERROR(VLOOKUP(B43, suggested_keywords!A:B, 2, FALSE), "")</f>
        <v/>
      </c>
    </row>
    <row r="44" spans="3:3" x14ac:dyDescent="0.55000000000000004">
      <c r="C44" s="22" t="str">
        <f>IFERROR(VLOOKUP(B44, suggested_keywords!A:B, 2, FALSE), "")</f>
        <v/>
      </c>
    </row>
    <row r="45" spans="3:3" x14ac:dyDescent="0.55000000000000004">
      <c r="C45" s="22" t="str">
        <f>IFERROR(VLOOKUP(B45, suggested_keywords!A:B, 2, FALSE), "")</f>
        <v/>
      </c>
    </row>
    <row r="46" spans="3:3" x14ac:dyDescent="0.55000000000000004">
      <c r="C46" s="22" t="str">
        <f>IFERROR(VLOOKUP(B46, suggested_keywords!A:B, 2, FALSE), "")</f>
        <v/>
      </c>
    </row>
    <row r="47" spans="3:3" x14ac:dyDescent="0.55000000000000004">
      <c r="C47" s="22" t="str">
        <f>IFERROR(VLOOKUP(B47, suggested_keywords!A:B, 2, FALSE), "")</f>
        <v/>
      </c>
    </row>
    <row r="48" spans="3:3" x14ac:dyDescent="0.55000000000000004">
      <c r="C48" s="22" t="str">
        <f>IFERROR(VLOOKUP(B48, suggested_keywords!A:B, 2, FALSE), "")</f>
        <v/>
      </c>
    </row>
    <row r="49" spans="3:3" x14ac:dyDescent="0.55000000000000004">
      <c r="C49" s="22" t="str">
        <f>IFERROR(VLOOKUP(B49, suggested_keywords!A:B, 2, FALSE), "")</f>
        <v/>
      </c>
    </row>
    <row r="50" spans="3:3" x14ac:dyDescent="0.55000000000000004">
      <c r="C50" s="22" t="str">
        <f>IFERROR(VLOOKUP(B50, suggested_keywords!A:B, 2, FALSE), "")</f>
        <v/>
      </c>
    </row>
    <row r="51" spans="3:3" x14ac:dyDescent="0.55000000000000004">
      <c r="C51" s="22" t="str">
        <f>IFERROR(VLOOKUP(B51, suggested_keywords!A:B, 2, FALSE), "")</f>
        <v/>
      </c>
    </row>
    <row r="52" spans="3:3" x14ac:dyDescent="0.55000000000000004">
      <c r="C52" s="22" t="str">
        <f>IFERROR(VLOOKUP(B52, suggested_keywords!A:B, 2, FALSE), "")</f>
        <v/>
      </c>
    </row>
    <row r="53" spans="3:3" x14ac:dyDescent="0.55000000000000004">
      <c r="C53" s="22" t="str">
        <f>IFERROR(VLOOKUP(B53, suggested_keywords!A:B, 2, FALSE), "")</f>
        <v/>
      </c>
    </row>
    <row r="54" spans="3:3" x14ac:dyDescent="0.55000000000000004">
      <c r="C54" s="22" t="str">
        <f>IFERROR(VLOOKUP(B54, suggested_keywords!A:B, 2, FALSE), "")</f>
        <v/>
      </c>
    </row>
    <row r="55" spans="3:3" x14ac:dyDescent="0.55000000000000004">
      <c r="C55" s="22" t="str">
        <f>IFERROR(VLOOKUP(B55, suggested_keywords!A:B, 2, FALSE), "")</f>
        <v/>
      </c>
    </row>
    <row r="56" spans="3:3" x14ac:dyDescent="0.55000000000000004">
      <c r="C56" s="22" t="str">
        <f>IFERROR(VLOOKUP(B56, suggested_keywords!A:B, 2, FALSE), "")</f>
        <v/>
      </c>
    </row>
    <row r="57" spans="3:3" x14ac:dyDescent="0.55000000000000004">
      <c r="C57" s="22" t="str">
        <f>IFERROR(VLOOKUP(B57, suggested_keywords!A:B, 2, FALSE), "")</f>
        <v/>
      </c>
    </row>
    <row r="58" spans="3:3" x14ac:dyDescent="0.55000000000000004">
      <c r="C58" s="22" t="str">
        <f>IFERROR(VLOOKUP(B58, suggested_keywords!A:B, 2, FALSE), "")</f>
        <v/>
      </c>
    </row>
    <row r="59" spans="3:3" x14ac:dyDescent="0.55000000000000004">
      <c r="C59" s="22" t="str">
        <f>IFERROR(VLOOKUP(B59, suggested_keywords!A:B, 2, FALSE), "")</f>
        <v/>
      </c>
    </row>
    <row r="60" spans="3:3" x14ac:dyDescent="0.55000000000000004">
      <c r="C60" s="22" t="str">
        <f>IFERROR(VLOOKUP(B60, suggested_keywords!A:B, 2, FALSE), "")</f>
        <v/>
      </c>
    </row>
    <row r="61" spans="3:3" x14ac:dyDescent="0.55000000000000004">
      <c r="C61" s="22" t="str">
        <f>IFERROR(VLOOKUP(B61, suggested_keywords!A:B, 2, FALSE), "")</f>
        <v/>
      </c>
    </row>
    <row r="62" spans="3:3" x14ac:dyDescent="0.55000000000000004">
      <c r="C62" s="22" t="str">
        <f>IFERROR(VLOOKUP(B62, suggested_keywords!A:B, 2, FALSE), "")</f>
        <v/>
      </c>
    </row>
    <row r="63" spans="3:3" x14ac:dyDescent="0.55000000000000004">
      <c r="C63" s="22" t="str">
        <f>IFERROR(VLOOKUP(B63, suggested_keywords!A:B, 2, FALSE), "")</f>
        <v/>
      </c>
    </row>
    <row r="64" spans="3:3" x14ac:dyDescent="0.55000000000000004">
      <c r="C64" s="22" t="str">
        <f>IFERROR(VLOOKUP(B64, suggested_keywords!A:B, 2, FALSE), "")</f>
        <v/>
      </c>
    </row>
    <row r="65" spans="3:3" x14ac:dyDescent="0.55000000000000004">
      <c r="C65" s="22" t="str">
        <f>IFERROR(VLOOKUP(B65, suggested_keywords!A:B, 2, FALSE), "")</f>
        <v/>
      </c>
    </row>
    <row r="66" spans="3:3" x14ac:dyDescent="0.55000000000000004">
      <c r="C66" s="22" t="str">
        <f>IFERROR(VLOOKUP(B66, suggested_keywords!A:B, 2, FALSE), "")</f>
        <v/>
      </c>
    </row>
    <row r="67" spans="3:3" x14ac:dyDescent="0.55000000000000004">
      <c r="C67" s="22" t="str">
        <f>IFERROR(VLOOKUP(B67, suggested_keywords!A:B, 2, FALSE), "")</f>
        <v/>
      </c>
    </row>
    <row r="68" spans="3:3" x14ac:dyDescent="0.55000000000000004">
      <c r="C68" s="22" t="str">
        <f>IFERROR(VLOOKUP(B68, suggested_keywords!A:B, 2, FALSE), "")</f>
        <v/>
      </c>
    </row>
    <row r="69" spans="3:3" x14ac:dyDescent="0.55000000000000004">
      <c r="C69" s="22" t="str">
        <f>IFERROR(VLOOKUP(B69, suggested_keywords!A:B, 2, FALSE), "")</f>
        <v/>
      </c>
    </row>
    <row r="70" spans="3:3" x14ac:dyDescent="0.55000000000000004">
      <c r="C70" s="22" t="str">
        <f>IFERROR(VLOOKUP(B70, suggested_keywords!A:B, 2, FALSE), "")</f>
        <v/>
      </c>
    </row>
    <row r="71" spans="3:3" x14ac:dyDescent="0.55000000000000004">
      <c r="C71" s="22" t="str">
        <f>IFERROR(VLOOKUP(B71, suggested_keywords!A:B, 2, FALSE), "")</f>
        <v/>
      </c>
    </row>
    <row r="72" spans="3:3" x14ac:dyDescent="0.55000000000000004">
      <c r="C72" s="22" t="str">
        <f>IFERROR(VLOOKUP(B72, suggested_keywords!A:B, 2, FALSE), "")</f>
        <v/>
      </c>
    </row>
    <row r="73" spans="3:3" x14ac:dyDescent="0.55000000000000004">
      <c r="C73" s="22" t="str">
        <f>IFERROR(VLOOKUP(B73, suggested_keywords!A:B, 2, FALSE), "")</f>
        <v/>
      </c>
    </row>
    <row r="74" spans="3:3" x14ac:dyDescent="0.55000000000000004">
      <c r="C74" s="22" t="str">
        <f>IFERROR(VLOOKUP(B74, suggested_keywords!A:B, 2, FALSE), "")</f>
        <v/>
      </c>
    </row>
    <row r="75" spans="3:3" x14ac:dyDescent="0.55000000000000004">
      <c r="C75" s="22" t="str">
        <f>IFERROR(VLOOKUP(B75, suggested_keywords!A:B, 2, FALSE), "")</f>
        <v/>
      </c>
    </row>
    <row r="76" spans="3:3" ht="14.7" x14ac:dyDescent="0.55000000000000004">
      <c r="C76" s="56" t="str">
        <f>IFERROR(VLOOKUP(B76, suggested_keywords!A:B, 2, FALSE), "")</f>
        <v/>
      </c>
    </row>
    <row r="77" spans="3:3" ht="14.7" x14ac:dyDescent="0.55000000000000004">
      <c r="C77" s="56" t="str">
        <f>IFERROR(VLOOKUP(B77, suggested_keywords!A:B, 2, FALSE), "")</f>
        <v/>
      </c>
    </row>
  </sheetData>
  <conditionalFormatting sqref="B5:B9">
    <cfRule type="expression" dxfId="8" priority="1">
      <formula>$B5=""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647F810-F0D6-42E3-8892-9AF4D8570EE8}">
          <x14:formula1>
            <xm:f>suggested_keywords!$A$2:$A$67</xm:f>
          </x14:formula1>
          <xm:sqref>B5:B72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282E7-37B0-47D7-B07C-4A82503386F7}">
  <dimension ref="A1:C67"/>
  <sheetViews>
    <sheetView workbookViewId="0">
      <selection activeCell="B20" sqref="B20"/>
    </sheetView>
  </sheetViews>
  <sheetFormatPr defaultRowHeight="14.4" x14ac:dyDescent="0.55000000000000004"/>
  <cols>
    <col min="1" max="1" width="71.41796875" style="22" bestFit="1" customWidth="1"/>
    <col min="2" max="2" width="17.9453125" style="22" bestFit="1" customWidth="1"/>
    <col min="3" max="3" width="8.83984375" style="22"/>
  </cols>
  <sheetData>
    <row r="1" spans="1:2" x14ac:dyDescent="0.55000000000000004">
      <c r="A1" s="57" t="s">
        <v>10</v>
      </c>
      <c r="B1" s="57" t="s">
        <v>11</v>
      </c>
    </row>
    <row r="2" spans="1:2" x14ac:dyDescent="0.55000000000000004">
      <c r="A2" s="22" t="s">
        <v>1101</v>
      </c>
      <c r="B2" s="22" t="s">
        <v>1167</v>
      </c>
    </row>
    <row r="3" spans="1:2" x14ac:dyDescent="0.55000000000000004">
      <c r="A3" s="22" t="s">
        <v>1102</v>
      </c>
      <c r="B3" s="22" t="s">
        <v>1167</v>
      </c>
    </row>
    <row r="4" spans="1:2" x14ac:dyDescent="0.55000000000000004">
      <c r="A4" s="22" t="s">
        <v>1103</v>
      </c>
      <c r="B4" s="22" t="s">
        <v>1167</v>
      </c>
    </row>
    <row r="5" spans="1:2" x14ac:dyDescent="0.55000000000000004">
      <c r="A5" s="22" t="s">
        <v>1104</v>
      </c>
      <c r="B5" s="22" t="s">
        <v>1167</v>
      </c>
    </row>
    <row r="6" spans="1:2" x14ac:dyDescent="0.55000000000000004">
      <c r="A6" s="22" t="s">
        <v>1105</v>
      </c>
      <c r="B6" s="22" t="s">
        <v>1167</v>
      </c>
    </row>
    <row r="7" spans="1:2" x14ac:dyDescent="0.55000000000000004">
      <c r="A7" s="22" t="s">
        <v>1106</v>
      </c>
      <c r="B7" s="22" t="s">
        <v>1167</v>
      </c>
    </row>
    <row r="8" spans="1:2" x14ac:dyDescent="0.55000000000000004">
      <c r="A8" s="22" t="s">
        <v>1107</v>
      </c>
      <c r="B8" s="22" t="s">
        <v>1167</v>
      </c>
    </row>
    <row r="9" spans="1:2" x14ac:dyDescent="0.55000000000000004">
      <c r="A9" s="22" t="s">
        <v>1108</v>
      </c>
      <c r="B9" s="22" t="s">
        <v>1167</v>
      </c>
    </row>
    <row r="10" spans="1:2" x14ac:dyDescent="0.55000000000000004">
      <c r="A10" s="22" t="s">
        <v>1109</v>
      </c>
      <c r="B10" s="22" t="s">
        <v>1167</v>
      </c>
    </row>
    <row r="11" spans="1:2" x14ac:dyDescent="0.55000000000000004">
      <c r="A11" s="22" t="s">
        <v>1110</v>
      </c>
      <c r="B11" s="22" t="s">
        <v>1167</v>
      </c>
    </row>
    <row r="12" spans="1:2" x14ac:dyDescent="0.55000000000000004">
      <c r="A12" s="22" t="s">
        <v>1111</v>
      </c>
      <c r="B12" s="22" t="s">
        <v>1167</v>
      </c>
    </row>
    <row r="13" spans="1:2" x14ac:dyDescent="0.55000000000000004">
      <c r="A13" s="22" t="s">
        <v>1112</v>
      </c>
      <c r="B13" s="22" t="s">
        <v>1167</v>
      </c>
    </row>
    <row r="14" spans="1:2" x14ac:dyDescent="0.55000000000000004">
      <c r="A14" s="22" t="s">
        <v>1113</v>
      </c>
      <c r="B14" s="22" t="s">
        <v>1167</v>
      </c>
    </row>
    <row r="15" spans="1:2" x14ac:dyDescent="0.55000000000000004">
      <c r="A15" s="22" t="s">
        <v>1114</v>
      </c>
      <c r="B15" s="22" t="s">
        <v>1167</v>
      </c>
    </row>
    <row r="16" spans="1:2" x14ac:dyDescent="0.55000000000000004">
      <c r="A16" s="22" t="s">
        <v>1115</v>
      </c>
      <c r="B16" s="22" t="s">
        <v>1167</v>
      </c>
    </row>
    <row r="17" spans="1:2" x14ac:dyDescent="0.55000000000000004">
      <c r="A17" s="22" t="s">
        <v>1116</v>
      </c>
      <c r="B17" s="22" t="s">
        <v>1167</v>
      </c>
    </row>
    <row r="18" spans="1:2" x14ac:dyDescent="0.55000000000000004">
      <c r="A18" s="22" t="s">
        <v>1117</v>
      </c>
      <c r="B18" s="22" t="s">
        <v>1167</v>
      </c>
    </row>
    <row r="19" spans="1:2" x14ac:dyDescent="0.55000000000000004">
      <c r="A19" s="22" t="s">
        <v>1118</v>
      </c>
      <c r="B19" s="22" t="s">
        <v>1167</v>
      </c>
    </row>
    <row r="20" spans="1:2" x14ac:dyDescent="0.55000000000000004">
      <c r="A20" s="22" t="s">
        <v>1119</v>
      </c>
      <c r="B20" s="22" t="s">
        <v>1167</v>
      </c>
    </row>
    <row r="21" spans="1:2" x14ac:dyDescent="0.55000000000000004">
      <c r="A21" s="22" t="s">
        <v>1120</v>
      </c>
      <c r="B21" s="22" t="s">
        <v>1167</v>
      </c>
    </row>
    <row r="22" spans="1:2" x14ac:dyDescent="0.55000000000000004">
      <c r="A22" s="22" t="s">
        <v>1121</v>
      </c>
      <c r="B22" s="22" t="s">
        <v>1167</v>
      </c>
    </row>
    <row r="23" spans="1:2" x14ac:dyDescent="0.55000000000000004">
      <c r="A23" s="22" t="s">
        <v>1122</v>
      </c>
      <c r="B23" s="22" t="s">
        <v>1167</v>
      </c>
    </row>
    <row r="24" spans="1:2" x14ac:dyDescent="0.55000000000000004">
      <c r="A24" s="22" t="s">
        <v>1123</v>
      </c>
      <c r="B24" s="22" t="s">
        <v>1167</v>
      </c>
    </row>
    <row r="25" spans="1:2" x14ac:dyDescent="0.55000000000000004">
      <c r="A25" s="22" t="s">
        <v>1124</v>
      </c>
      <c r="B25" s="22" t="s">
        <v>1167</v>
      </c>
    </row>
    <row r="26" spans="1:2" x14ac:dyDescent="0.55000000000000004">
      <c r="A26" s="22" t="s">
        <v>1125</v>
      </c>
      <c r="B26" s="22" t="s">
        <v>1167</v>
      </c>
    </row>
    <row r="27" spans="1:2" x14ac:dyDescent="0.55000000000000004">
      <c r="A27" s="22" t="s">
        <v>1126</v>
      </c>
      <c r="B27" s="22" t="s">
        <v>1167</v>
      </c>
    </row>
    <row r="28" spans="1:2" x14ac:dyDescent="0.55000000000000004">
      <c r="A28" s="22" t="s">
        <v>1127</v>
      </c>
      <c r="B28" s="22" t="s">
        <v>1167</v>
      </c>
    </row>
    <row r="29" spans="1:2" x14ac:dyDescent="0.55000000000000004">
      <c r="A29" s="22" t="s">
        <v>1128</v>
      </c>
      <c r="B29" s="22" t="s">
        <v>1167</v>
      </c>
    </row>
    <row r="30" spans="1:2" x14ac:dyDescent="0.55000000000000004">
      <c r="A30" s="22" t="s">
        <v>1129</v>
      </c>
      <c r="B30" s="22" t="s">
        <v>1167</v>
      </c>
    </row>
    <row r="31" spans="1:2" x14ac:dyDescent="0.55000000000000004">
      <c r="A31" s="22" t="s">
        <v>1130</v>
      </c>
      <c r="B31" s="22" t="s">
        <v>1167</v>
      </c>
    </row>
    <row r="32" spans="1:2" x14ac:dyDescent="0.55000000000000004">
      <c r="A32" s="22" t="s">
        <v>1131</v>
      </c>
      <c r="B32" s="22" t="s">
        <v>1167</v>
      </c>
    </row>
    <row r="33" spans="1:2" x14ac:dyDescent="0.55000000000000004">
      <c r="A33" s="22" t="s">
        <v>1132</v>
      </c>
      <c r="B33" s="22" t="s">
        <v>1167</v>
      </c>
    </row>
    <row r="34" spans="1:2" x14ac:dyDescent="0.55000000000000004">
      <c r="A34" s="22" t="s">
        <v>1133</v>
      </c>
      <c r="B34" s="22" t="s">
        <v>1167</v>
      </c>
    </row>
    <row r="35" spans="1:2" x14ac:dyDescent="0.55000000000000004">
      <c r="A35" s="22" t="s">
        <v>1134</v>
      </c>
      <c r="B35" s="22" t="s">
        <v>1167</v>
      </c>
    </row>
    <row r="36" spans="1:2" x14ac:dyDescent="0.55000000000000004">
      <c r="A36" s="22" t="s">
        <v>1135</v>
      </c>
      <c r="B36" s="22" t="s">
        <v>1167</v>
      </c>
    </row>
    <row r="37" spans="1:2" x14ac:dyDescent="0.55000000000000004">
      <c r="A37" s="22" t="s">
        <v>1136</v>
      </c>
      <c r="B37" s="22" t="s">
        <v>1167</v>
      </c>
    </row>
    <row r="38" spans="1:2" x14ac:dyDescent="0.55000000000000004">
      <c r="A38" s="22" t="s">
        <v>1137</v>
      </c>
      <c r="B38" s="22" t="s">
        <v>1167</v>
      </c>
    </row>
    <row r="39" spans="1:2" x14ac:dyDescent="0.55000000000000004">
      <c r="A39" s="22" t="s">
        <v>1138</v>
      </c>
      <c r="B39" s="22" t="s">
        <v>1167</v>
      </c>
    </row>
    <row r="40" spans="1:2" x14ac:dyDescent="0.55000000000000004">
      <c r="A40" s="22" t="s">
        <v>1139</v>
      </c>
      <c r="B40" s="22" t="s">
        <v>1167</v>
      </c>
    </row>
    <row r="41" spans="1:2" x14ac:dyDescent="0.55000000000000004">
      <c r="A41" s="22" t="s">
        <v>1140</v>
      </c>
      <c r="B41" s="22" t="s">
        <v>1167</v>
      </c>
    </row>
    <row r="42" spans="1:2" x14ac:dyDescent="0.55000000000000004">
      <c r="A42" s="22" t="s">
        <v>1141</v>
      </c>
      <c r="B42" s="22" t="s">
        <v>1167</v>
      </c>
    </row>
    <row r="43" spans="1:2" x14ac:dyDescent="0.55000000000000004">
      <c r="A43" s="22" t="s">
        <v>1142</v>
      </c>
      <c r="B43" s="22" t="s">
        <v>1167</v>
      </c>
    </row>
    <row r="44" spans="1:2" x14ac:dyDescent="0.55000000000000004">
      <c r="A44" s="22" t="s">
        <v>1143</v>
      </c>
      <c r="B44" s="22" t="s">
        <v>1167</v>
      </c>
    </row>
    <row r="45" spans="1:2" x14ac:dyDescent="0.55000000000000004">
      <c r="A45" s="22" t="s">
        <v>1144</v>
      </c>
      <c r="B45" s="22" t="s">
        <v>1167</v>
      </c>
    </row>
    <row r="46" spans="1:2" x14ac:dyDescent="0.55000000000000004">
      <c r="A46" s="22" t="s">
        <v>1145</v>
      </c>
      <c r="B46" s="22" t="s">
        <v>1167</v>
      </c>
    </row>
    <row r="47" spans="1:2" x14ac:dyDescent="0.55000000000000004">
      <c r="A47" s="22" t="s">
        <v>1146</v>
      </c>
      <c r="B47" s="22" t="s">
        <v>1167</v>
      </c>
    </row>
    <row r="48" spans="1:2" x14ac:dyDescent="0.55000000000000004">
      <c r="A48" s="22" t="s">
        <v>1147</v>
      </c>
      <c r="B48" s="22" t="s">
        <v>1167</v>
      </c>
    </row>
    <row r="49" spans="1:2" x14ac:dyDescent="0.55000000000000004">
      <c r="A49" s="22" t="s">
        <v>1148</v>
      </c>
      <c r="B49" s="22" t="s">
        <v>1167</v>
      </c>
    </row>
    <row r="50" spans="1:2" x14ac:dyDescent="0.55000000000000004">
      <c r="A50" s="22" t="s">
        <v>1149</v>
      </c>
      <c r="B50" s="22" t="s">
        <v>1167</v>
      </c>
    </row>
    <row r="51" spans="1:2" x14ac:dyDescent="0.55000000000000004">
      <c r="A51" s="22" t="s">
        <v>1150</v>
      </c>
      <c r="B51" s="22" t="s">
        <v>1167</v>
      </c>
    </row>
    <row r="52" spans="1:2" x14ac:dyDescent="0.55000000000000004">
      <c r="A52" s="22" t="s">
        <v>1151</v>
      </c>
      <c r="B52" s="22" t="s">
        <v>1167</v>
      </c>
    </row>
    <row r="53" spans="1:2" x14ac:dyDescent="0.55000000000000004">
      <c r="A53" s="22" t="s">
        <v>1152</v>
      </c>
      <c r="B53" s="22" t="s">
        <v>1167</v>
      </c>
    </row>
    <row r="54" spans="1:2" x14ac:dyDescent="0.55000000000000004">
      <c r="A54" s="22" t="s">
        <v>1153</v>
      </c>
      <c r="B54" s="22" t="s">
        <v>1167</v>
      </c>
    </row>
    <row r="55" spans="1:2" x14ac:dyDescent="0.55000000000000004">
      <c r="A55" s="22" t="s">
        <v>1154</v>
      </c>
      <c r="B55" s="22" t="s">
        <v>1167</v>
      </c>
    </row>
    <row r="56" spans="1:2" x14ac:dyDescent="0.55000000000000004">
      <c r="A56" s="22" t="s">
        <v>1155</v>
      </c>
      <c r="B56" s="22" t="s">
        <v>1167</v>
      </c>
    </row>
    <row r="57" spans="1:2" x14ac:dyDescent="0.55000000000000004">
      <c r="A57" s="22" t="s">
        <v>1156</v>
      </c>
      <c r="B57" s="22" t="s">
        <v>1167</v>
      </c>
    </row>
    <row r="58" spans="1:2" x14ac:dyDescent="0.55000000000000004">
      <c r="A58" s="22" t="s">
        <v>1157</v>
      </c>
      <c r="B58" s="22" t="s">
        <v>1167</v>
      </c>
    </row>
    <row r="59" spans="1:2" x14ac:dyDescent="0.55000000000000004">
      <c r="A59" s="22" t="s">
        <v>1158</v>
      </c>
      <c r="B59" s="22" t="s">
        <v>1167</v>
      </c>
    </row>
    <row r="60" spans="1:2" x14ac:dyDescent="0.55000000000000004">
      <c r="A60" s="22" t="s">
        <v>1159</v>
      </c>
      <c r="B60" s="22" t="s">
        <v>1167</v>
      </c>
    </row>
    <row r="61" spans="1:2" x14ac:dyDescent="0.55000000000000004">
      <c r="A61" s="22" t="s">
        <v>1160</v>
      </c>
      <c r="B61" s="22" t="s">
        <v>1167</v>
      </c>
    </row>
    <row r="62" spans="1:2" x14ac:dyDescent="0.55000000000000004">
      <c r="A62" s="22" t="s">
        <v>1161</v>
      </c>
      <c r="B62" s="22" t="s">
        <v>1167</v>
      </c>
    </row>
    <row r="63" spans="1:2" x14ac:dyDescent="0.55000000000000004">
      <c r="A63" s="22" t="s">
        <v>1162</v>
      </c>
      <c r="B63" s="22" t="s">
        <v>1167</v>
      </c>
    </row>
    <row r="64" spans="1:2" x14ac:dyDescent="0.55000000000000004">
      <c r="A64" s="22" t="s">
        <v>1163</v>
      </c>
      <c r="B64" s="22" t="s">
        <v>1167</v>
      </c>
    </row>
    <row r="65" spans="1:2" x14ac:dyDescent="0.55000000000000004">
      <c r="A65" s="22" t="s">
        <v>1164</v>
      </c>
      <c r="B65" s="22" t="s">
        <v>1167</v>
      </c>
    </row>
    <row r="66" spans="1:2" x14ac:dyDescent="0.55000000000000004">
      <c r="A66" s="22" t="s">
        <v>1165</v>
      </c>
      <c r="B66" s="22" t="s">
        <v>1167</v>
      </c>
    </row>
    <row r="67" spans="1:2" x14ac:dyDescent="0.55000000000000004">
      <c r="A67" s="22" t="s">
        <v>1166</v>
      </c>
      <c r="B67" s="22" t="s">
        <v>1167</v>
      </c>
    </row>
  </sheetData>
  <sheetProtection sheet="1" objects="1" scenarios="1"/>
  <pageMargins left="0.7" right="0.7" top="0.75" bottom="0.75" header="0.3" footer="0.3"/>
  <pageSetup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5"/>
  <sheetViews>
    <sheetView tabSelected="1" workbookViewId="0">
      <selection activeCell="A13" sqref="A13"/>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59" t="s">
        <v>1081</v>
      </c>
      <c r="B1" s="60"/>
      <c r="C1" s="60"/>
      <c r="D1" s="60"/>
      <c r="E1" s="60"/>
      <c r="F1" s="60"/>
      <c r="G1" s="60"/>
      <c r="H1" s="60"/>
      <c r="I1" s="60"/>
      <c r="J1" s="60"/>
    </row>
    <row r="2" spans="1:10" s="1" customFormat="1" ht="21.3" x14ac:dyDescent="0.85">
      <c r="A2" s="48" t="s">
        <v>1099</v>
      </c>
      <c r="B2" s="49"/>
      <c r="C2" s="49"/>
      <c r="D2" s="50"/>
      <c r="E2" s="50"/>
      <c r="F2" s="50"/>
      <c r="G2" s="50"/>
      <c r="H2" s="51"/>
      <c r="I2" s="51"/>
      <c r="J2" s="51"/>
    </row>
    <row r="3" spans="1:10" x14ac:dyDescent="0.55000000000000004">
      <c r="A3" s="45" t="s">
        <v>17</v>
      </c>
      <c r="B3" s="45" t="s">
        <v>18</v>
      </c>
      <c r="C3" s="45" t="s">
        <v>19</v>
      </c>
      <c r="D3" s="45" t="s">
        <v>20</v>
      </c>
      <c r="E3" s="45" t="s">
        <v>21</v>
      </c>
      <c r="F3" s="45" t="s">
        <v>22</v>
      </c>
      <c r="G3" s="45" t="s">
        <v>23</v>
      </c>
      <c r="H3" s="46" t="s">
        <v>24</v>
      </c>
      <c r="I3" s="46" t="s">
        <v>25</v>
      </c>
      <c r="J3" s="46" t="s">
        <v>26</v>
      </c>
    </row>
    <row r="4" spans="1:10" x14ac:dyDescent="0.55000000000000004">
      <c r="A4" s="47" t="s">
        <v>1173</v>
      </c>
      <c r="B4" s="47" t="s">
        <v>28</v>
      </c>
      <c r="C4" s="47" t="s">
        <v>1174</v>
      </c>
      <c r="D4" s="47" t="s">
        <v>29</v>
      </c>
      <c r="E4" s="47" t="s">
        <v>1175</v>
      </c>
      <c r="F4" s="47"/>
      <c r="G4" s="47" t="s">
        <v>30</v>
      </c>
      <c r="H4" s="47" t="s">
        <v>31</v>
      </c>
      <c r="I4" s="35"/>
      <c r="J4" s="35"/>
    </row>
    <row r="5" spans="1:10" x14ac:dyDescent="0.55000000000000004">
      <c r="A5" s="47" t="s">
        <v>1173</v>
      </c>
      <c r="B5" s="47" t="s">
        <v>28</v>
      </c>
      <c r="C5" s="47" t="s">
        <v>1174</v>
      </c>
      <c r="D5" s="47" t="s">
        <v>29</v>
      </c>
      <c r="E5" s="47" t="s">
        <v>1175</v>
      </c>
      <c r="F5" s="47"/>
      <c r="G5" s="47" t="s">
        <v>32</v>
      </c>
      <c r="H5" s="47" t="s">
        <v>31</v>
      </c>
      <c r="I5" s="35"/>
      <c r="J5" s="35"/>
    </row>
    <row r="6" spans="1:10" x14ac:dyDescent="0.55000000000000004">
      <c r="A6" s="47" t="s">
        <v>35</v>
      </c>
      <c r="B6" s="47" t="s">
        <v>34</v>
      </c>
      <c r="C6" s="47" t="s">
        <v>36</v>
      </c>
      <c r="D6" s="47" t="s">
        <v>29</v>
      </c>
      <c r="E6" s="47" t="s">
        <v>37</v>
      </c>
      <c r="F6" s="47" t="s">
        <v>38</v>
      </c>
      <c r="G6" s="47" t="s">
        <v>32</v>
      </c>
      <c r="H6" s="47" t="s">
        <v>31</v>
      </c>
      <c r="I6" s="35"/>
      <c r="J6" s="35"/>
    </row>
    <row r="7" spans="1:10" x14ac:dyDescent="0.55000000000000004">
      <c r="A7" s="47"/>
      <c r="B7" s="47"/>
      <c r="C7" s="47"/>
      <c r="D7" s="47"/>
      <c r="E7" s="47"/>
      <c r="F7" s="47"/>
      <c r="G7" s="47"/>
      <c r="H7" s="47"/>
      <c r="I7" s="35"/>
      <c r="J7" s="35"/>
    </row>
    <row r="8" spans="1:10" x14ac:dyDescent="0.55000000000000004">
      <c r="A8" s="47"/>
      <c r="B8" s="47"/>
      <c r="C8" s="47"/>
      <c r="D8" s="47"/>
      <c r="E8" s="47"/>
      <c r="F8" s="47"/>
      <c r="G8" s="47"/>
      <c r="H8" s="47"/>
      <c r="I8" s="35"/>
      <c r="J8" s="35"/>
    </row>
    <row r="12" spans="1:10" ht="72.900000000000006" x14ac:dyDescent="0.7">
      <c r="A12" s="8" t="s">
        <v>1085</v>
      </c>
      <c r="B12" s="8"/>
      <c r="C12" s="8"/>
      <c r="D12" s="8"/>
      <c r="E12" s="8"/>
      <c r="F12" s="9" t="s">
        <v>27</v>
      </c>
      <c r="G12" s="53" t="s">
        <v>1100</v>
      </c>
      <c r="H12" s="9"/>
      <c r="I12" s="9" t="s">
        <v>1082</v>
      </c>
      <c r="J12" s="9" t="s">
        <v>1082</v>
      </c>
    </row>
    <row r="13" spans="1:10" s="3" customFormat="1" x14ac:dyDescent="0.55000000000000004">
      <c r="A13" s="4" t="s">
        <v>17</v>
      </c>
      <c r="B13" s="4" t="s">
        <v>18</v>
      </c>
      <c r="C13" s="4" t="s">
        <v>19</v>
      </c>
      <c r="D13" s="4" t="s">
        <v>20</v>
      </c>
      <c r="E13" s="4" t="s">
        <v>21</v>
      </c>
      <c r="F13" s="4" t="s">
        <v>22</v>
      </c>
      <c r="G13" s="4" t="s">
        <v>23</v>
      </c>
      <c r="H13" s="5" t="s">
        <v>24</v>
      </c>
      <c r="I13" s="5" t="s">
        <v>25</v>
      </c>
      <c r="J13" s="5" t="s">
        <v>26</v>
      </c>
    </row>
    <row r="14" spans="1:10" x14ac:dyDescent="0.55000000000000004">
      <c r="G14" t="s">
        <v>32</v>
      </c>
      <c r="H14"/>
      <c r="I14" s="35"/>
      <c r="J14" s="35"/>
    </row>
    <row r="15" spans="1:10" x14ac:dyDescent="0.55000000000000004">
      <c r="G15" t="s">
        <v>30</v>
      </c>
      <c r="H15"/>
      <c r="I15" s="35"/>
      <c r="J15" s="35"/>
    </row>
  </sheetData>
  <mergeCells count="1">
    <mergeCell ref="A1:J1"/>
  </mergeCells>
  <conditionalFormatting sqref="A14:H15">
    <cfRule type="expression" dxfId="7" priority="2">
      <formula>A14=""</formula>
    </cfRule>
  </conditionalFormatting>
  <conditionalFormatting sqref="B16:H122">
    <cfRule type="expression" dxfId="6" priority="1">
      <formula>AND($A16&lt;&gt;"", B16="")</formula>
    </cfRule>
  </conditionalFormatting>
  <conditionalFormatting sqref="G1">
    <cfRule type="expression" dxfId="5" priority="9">
      <formula>AND($G1="",$B1&lt;&gt;"")</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3"/>
  <sheetViews>
    <sheetView workbookViewId="0">
      <selection activeCell="C14" sqref="C13:C14"/>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1092</v>
      </c>
      <c r="B1" s="12"/>
      <c r="C1" s="12"/>
    </row>
    <row r="2" spans="1:3" ht="47.1" x14ac:dyDescent="0.7">
      <c r="A2"/>
      <c r="B2" s="23" t="s">
        <v>1090</v>
      </c>
      <c r="C2" s="23" t="s">
        <v>1169</v>
      </c>
    </row>
    <row r="3" spans="1:3" ht="15.6" x14ac:dyDescent="0.6">
      <c r="A3" s="54" t="s">
        <v>1088</v>
      </c>
      <c r="B3" s="55" t="s">
        <v>1089</v>
      </c>
      <c r="C3" s="55" t="s">
        <v>1091</v>
      </c>
    </row>
  </sheetData>
  <sheetProtection sheet="1" objects="1" scenarios="1" formatCells="0"/>
  <conditionalFormatting sqref="B4:B136">
    <cfRule type="expression" dxfId="4" priority="2">
      <formula>AND($B4="",$A4&lt;&gt;"")</formula>
    </cfRule>
  </conditionalFormatting>
  <conditionalFormatting sqref="C4:C136">
    <cfRule type="expression" dxfId="3" priority="1">
      <formula>AND($C4="",$A4&lt;&gt;"")</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workbookViewId="0">
      <selection activeCell="B13" sqref="B13"/>
    </sheetView>
  </sheetViews>
  <sheetFormatPr defaultRowHeight="14.4" x14ac:dyDescent="0.55000000000000004"/>
  <cols>
    <col min="1" max="1" width="54.15625" style="33" customWidth="1"/>
    <col min="2" max="2" width="39.578125" style="33" bestFit="1" customWidth="1"/>
    <col min="3" max="8" width="8.83984375" style="33"/>
  </cols>
  <sheetData>
    <row r="1" spans="1:2" ht="18.3" x14ac:dyDescent="0.7">
      <c r="A1" s="24" t="s">
        <v>0</v>
      </c>
      <c r="B1" s="24" t="s">
        <v>39</v>
      </c>
    </row>
    <row r="2" spans="1:2" ht="100.8" x14ac:dyDescent="0.55000000000000004">
      <c r="A2" s="22" t="s">
        <v>40</v>
      </c>
      <c r="B2" s="31"/>
    </row>
    <row r="3" spans="1:2" ht="18.3" x14ac:dyDescent="0.7">
      <c r="A3" s="37" t="s">
        <v>2</v>
      </c>
      <c r="B3" s="32"/>
    </row>
    <row r="4" spans="1:2" x14ac:dyDescent="0.55000000000000004">
      <c r="A4" s="41"/>
    </row>
  </sheetData>
  <conditionalFormatting sqref="A3">
    <cfRule type="expression" dxfId="2" priority="1">
      <formula>$B3="attributeName"</formula>
    </cfRule>
  </conditionalFormatting>
  <conditionalFormatting sqref="A1:B1">
    <cfRule type="expression" dxfId="1" priority="2">
      <formula>$B1="attributeName"</formula>
    </cfRule>
  </conditionalFormatting>
  <conditionalFormatting sqref="B2">
    <cfRule type="expression" dxfId="0"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attributes</vt:lpstr>
      <vt:lpstr>custom_units</vt:lpstr>
      <vt:lpstr>unit_dictionary</vt:lpstr>
      <vt:lpstr>catagorical_value_definitions</vt:lpstr>
      <vt:lpstr>abstract</vt:lpstr>
      <vt:lpstr>methods</vt:lpstr>
      <vt:lpstr>keywords</vt:lpstr>
      <vt:lpstr>suggested_keywords</vt:lpstr>
      <vt:lpstr>personnel</vt:lpstr>
      <vt:lpstr>table_info</vt:lpstr>
      <vt:lpstr>additional_info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2026-10-28T19:13:55Z</dcterms:modified>
</cp:coreProperties>
</file>